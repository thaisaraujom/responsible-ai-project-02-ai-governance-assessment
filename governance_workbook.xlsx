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EU AI Act Classification" sheetId="2" r:id="rId5"/>
    <sheet name="Risk Register" sheetId="3" r:id="rId6"/>
    <sheet name="Vendor Evaluation" sheetId="4" r:id="rId7"/>
    <sheet name="Model Card" sheetId="5" r:id="rId8"/>
    <sheet name="Monitoring &amp; Incidents" sheetId="6" r:id="rId9"/>
    <sheet name="Executive Summary" sheetId="7" r:id="rId10"/>
  </sheets>
</workbook>
</file>

<file path=xl/sharedStrings.xml><?xml version="1.0" encoding="utf-8"?>
<sst xmlns="http://schemas.openxmlformats.org/spreadsheetml/2006/main" uniqueCount="616">
  <si>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</si>
  <si>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</si>
  <si>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</si>
  <si>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</si>
  <si>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EU AI Act Classification</t>
  </si>
  <si>
    <t>Table 1</t>
  </si>
  <si>
    <t>EU AI ACT RISK CLASSIFICATION — ClinicalCompanion v1.0</t>
  </si>
  <si>
    <t>SECTION A: Risk Classification (YOUR ANALYSIS)</t>
  </si>
  <si>
    <t>Step</t>
  </si>
  <si>
    <t>Question</t>
  </si>
  <si>
    <t>Your Answer</t>
  </si>
  <si>
    <t>Evidence / Justification</t>
  </si>
  <si>
    <t>Article Reference</t>
  </si>
  <si>
    <t>Result</t>
  </si>
  <si>
    <t>1</t>
  </si>
  <si>
    <t>Does the system engage in any prohibited practices under Article 5?</t>
  </si>
  <si>
    <t>No</t>
  </si>
  <si>
    <t>ClinicalCompanion provides diagnostic support to physicians. It does not perform social scoring, exploit vulnerabilities, conduct real-time remote biometric identification, or use subliminal or deceptive manipulation.</t>
  </si>
  <si>
    <t>Article 5</t>
  </si>
  <si>
    <t>Not Prohibited</t>
  </si>
  <si>
    <t>2</t>
  </si>
  <si>
    <t>Is the system a safety component under EU harmonisation legislation (Annex I)?</t>
  </si>
  <si>
    <t>Yes</t>
  </si>
  <si>
    <t>ClinicalCompanion has an intended medical purpose because it analyzes patient records and provides patient-specific diagnostic and treatment suggestions. It is therefore treated as medical device software under MDR 2017/745. Under Annex VIII, Rule 11, the working classification is Class IIa, requiring third-party conformity assessment by a Notified Body.</t>
  </si>
  <si>
    <t>Article 6(1), Annex I</t>
  </si>
  <si>
    <t>Falls under</t>
  </si>
  <si>
    <t>3</t>
  </si>
  <si>
    <t>Does the system fall under any Annex III high-risk category?</t>
  </si>
  <si>
    <t>Clinical decision support in healthcare is not independently listed among the Annex III categories. The system does not perform biometric identification or operate in education, employment, essential services, law enforcement, migration, critical infrastructure, or administration of justice.</t>
  </si>
  <si>
    <t>Article 6(2), Annex III</t>
  </si>
  <si>
    <t>Not Listed</t>
  </si>
  <si>
    <t>4</t>
  </si>
  <si>
    <t>FINAL CLASSIFICATION</t>
  </si>
  <si>
    <t>HIGH-RISK</t>
  </si>
  <si>
    <t>ClinicalCompanion is not prohibited under Article 5. However, it is medical device software covered by legislation listed in Annex I and requires third-party conformity assessment. Therefore, both conditions of Article 6(1) are met. An Annex III match is not required.</t>
  </si>
  <si>
    <t>Article 6(1), Annex I, Section A; MDR 2017/745</t>
  </si>
  <si>
    <t>HIGH-RISK AI SYSTEM</t>
  </si>
  <si>
    <t>SECTION B: Compliance Gap Analysis (Articles 8-15)</t>
  </si>
  <si>
    <t>Article</t>
  </si>
  <si>
    <t>Requirement</t>
  </si>
  <si>
    <t>Description</t>
  </si>
  <si>
    <t>Your Status Assessment</t>
  </si>
  <si>
    <t>Your Severity Rating</t>
  </si>
  <si>
    <t>Your Remediation Plan</t>
  </si>
  <si>
    <t>Article 9</t>
  </si>
  <si>
    <t>Risk Management System</t>
  </si>
  <si>
    <t>Establish and maintain risk management system throughout AI lifecycle</t>
  </si>
  <si>
    <t>PARTIAL — The risk assessment has started, but it has not yet been formalized as a continuous lifecycle process</t>
  </si>
  <si>
    <t>High</t>
  </si>
  <si>
    <t>Formalize the risk management system as an ongoing process and integrate it into the product lifecycle.</t>
  </si>
  <si>
    <t>Risk Identification</t>
  </si>
  <si>
    <t>Identify and analyze known and reasonably foreseeable risks</t>
  </si>
  <si>
    <t>PARTIAL — The risk register is in progress and currently documents eight identified risks</t>
  </si>
  <si>
    <t>Medium</t>
  </si>
  <si>
    <t>Complete the risk register with all identified risks, owners, controls, mitigations, and review dates.</t>
  </si>
  <si>
    <t>Residual Risk Evaluation</t>
  </si>
  <si>
    <t>Residual risk after mitigation must be judged acceptable</t>
  </si>
  <si>
    <t>NON-COMPLIANT — Residual risks have been calculated, but their acceptability has not yet been formally evaluated and approved</t>
  </si>
  <si>
    <t>Evaluate residual risks after implementing mitigations and obtain formal approval from the appropriate risk owners.</t>
  </si>
  <si>
    <t>Article 10</t>
  </si>
  <si>
    <t>Data Governance</t>
  </si>
  <si>
    <t>Training/validation/testing datasets subject to appropriate governance</t>
  </si>
  <si>
    <t>PARTIAL — Governance processes exist for internal data, but information about the vendor’s foundation-model training data remains limited</t>
  </si>
  <si>
    <t>Obtain contractual training-data documentation from FoundationHealth and verify compliance with Article 10.</t>
  </si>
  <si>
    <t>Dataset Representativeness</t>
  </si>
  <si>
    <t>Datasets relevant, sufficiently representative, free of errors</t>
  </si>
  <si>
    <t>PARTIAL — Performance gaps exist for rare diseases, non-English notes, older patients, and complex multi-morbidity cases</t>
  </si>
  <si>
    <t>Expand representative datasets, perform targeted validation, and implement bias mitigation for underrepresented populations.</t>
  </si>
  <si>
    <t>Special Category Data</t>
  </si>
  <si>
    <t>Appropriate safeguards for health data processing</t>
  </si>
  <si>
    <t>PARTIAL — A de-identification pipeline and DPIA exist, but the DPIA does not fully cover foundation-model data flows and cross-border transfers</t>
  </si>
  <si>
    <t>Update the DPIA to cover health-data processing, vendor data flows, and cross-border transfers.</t>
  </si>
  <si>
    <t>Article 11</t>
  </si>
  <si>
    <t>Technical Documentation</t>
  </si>
  <si>
    <t>Draw up technical documentation before market placement</t>
  </si>
  <si>
    <t>PARTIAL — The system specification and governance assessment exist, but monitoring and conformity evidence remain incomplete</t>
  </si>
  <si>
    <t>Complete the technical documentation package according to Annex IV before market placement.</t>
  </si>
  <si>
    <t>Article 12</t>
  </si>
  <si>
    <t>Record-Keeping</t>
  </si>
  <si>
    <t>Automatic recording of events (logs) throughout system lifetime</t>
  </si>
  <si>
    <t>PARTIAL — API calls are logged, but there is no complete audit trail for every clinical suggestion</t>
  </si>
  <si>
    <t>Implement comprehensive logging of inputs, outputs, confidence information, user actions, overrides, and relevant system events.</t>
  </si>
  <si>
    <t>Log Retention</t>
  </si>
  <si>
    <t>Logs retained for appropriate period</t>
  </si>
  <si>
    <t>NON-COMPLIANT — A retention policy is planned but has not yet been defined or implemented</t>
  </si>
  <si>
    <t>Define and implement a documented log-retention policy aligned with applicable MDR and AI Act requirements.</t>
  </si>
  <si>
    <t>Article 13</t>
  </si>
  <si>
    <t>Transparency</t>
  </si>
  <si>
    <t>Design to allow deployers to interpret output appropriately</t>
  </si>
  <si>
    <t>PARTIAL — Confidence scores are provided, but the explanations supporting diagnostic suggestions need improvement</t>
  </si>
  <si>
    <t>Improve output explanations and provide documentation that helps physicians interpret limitations and confidence scores.</t>
  </si>
  <si>
    <t>Instructions for Use</t>
  </si>
  <si>
    <t>Provide instructions for use to deployers</t>
  </si>
  <si>
    <t>PARTIAL — The Model Card and deployer training materials are still being developed</t>
  </si>
  <si>
    <t>Complete the Model Card, instructions for use, warnings, limitations, and physician training materials.</t>
  </si>
  <si>
    <t>Article 14</t>
  </si>
  <si>
    <t>Human Oversight</t>
  </si>
  <si>
    <t>Design to allow effective human oversight during use</t>
  </si>
  <si>
    <t>COMPLIANT — Every suggestion requires physician review and approval before clinical action</t>
  </si>
  <si>
    <t>Low</t>
  </si>
  <si>
    <t>Maintain the physician-in-the-loop design and finalize physician training materials.</t>
  </si>
  <si>
    <t>Override Capability</t>
  </si>
  <si>
    <t>Enable deployer to override or reverse AI output</t>
  </si>
  <si>
    <t>COMPLIANT — Physicians can dismiss or disregard every suggestion, and the system does not automatically execute clinical decisions</t>
  </si>
  <si>
    <t>Maintain the current override functionality and monitor its use after deployment.</t>
  </si>
  <si>
    <t>Article 15</t>
  </si>
  <si>
    <t>Accuracy</t>
  </si>
  <si>
    <t>Achieve appropriate level of accuracy for intended purpose</t>
  </si>
  <si>
    <t>PARTIAL — Overall Top-3 accuracy is 91.7%, but the hallucination rate is 3.4%, exceeding the 2% target. Several subgroups also perform below target</t>
  </si>
  <si>
    <t>Critical</t>
  </si>
  <si>
    <t>Reduce hallucinations below 2%, implement an output-verification layer, and improve performance for underperforming subgroups.</t>
  </si>
  <si>
    <t>Robustness</t>
  </si>
  <si>
    <t>Resilient to errors, faults, inconsistencies; adversarial resilience</t>
  </si>
  <si>
    <t>PARTIAL — Input validation exists, but adversarial robustness and red-team testing have not been completed</t>
  </si>
  <si>
    <t>Conduct red-team testing, adversarial assessments, and documented robustness validation before launch.</t>
  </si>
  <si>
    <t>Cybersecurity</t>
  </si>
  <si>
    <t>Cybersecurity measures appropriate to risk level</t>
  </si>
  <si>
    <t>PARTIAL — TLS 1.3 and AES-256 are implemented, but a formal AI-specific cybersecurity assessment has not been completed</t>
  </si>
  <si>
    <t>Complete a formal cybersecurity assessment and document vulnerability management, access controls, and incident-response testing.</t>
  </si>
  <si>
    <t>SECTION C: Your Classification Summary</t>
  </si>
  <si>
    <t>Overall Risk Level:</t>
  </si>
  <si>
    <t>HIGH-RISK AI SYSTEM under EU AI Act Article 6(1), Annex I, Section A, due to its status as medical device software requiring third-party conformity assessment under MDR 2017/745.</t>
  </si>
  <si>
    <t>Number of Critical/High Gaps:</t>
  </si>
  <si>
    <t>6 unresolved Critical/High gaps: 1 Critical and 5 High.</t>
  </si>
  <si>
    <t>Timeline to Compliance:</t>
  </si>
  <si>
    <t>Approximately 3 months, assuming immediate remediation. The critical path includes reducing the hallucination rate in Month 1, completing residual-risk evaluation, data governance documentation, technical documentation, logging, and robustness testing in Month 2, and addressing dataset representativeness by Month 3.</t>
  </si>
  <si>
    <t>Key Recommendation for the Board:</t>
  </si>
  <si>
    <t>Do not approve an unconditional broad EU launch at this time. Proceed only with a conditional launch decision requiring closure of the Critical and High gaps, successful MDR conformity assessment, reduction of the hallucination rate below 2%, formal acceptance of residual risks, completion of technical documentation, and implementation of post-market monitoring. A restricted and closely monitored pilot may be considered only after the critical safety controls have been validated.</t>
  </si>
  <si>
    <t>Risk Register</t>
  </si>
  <si>
    <t>RISK REGISTER — ClinicalCompanion v1.0 (NIST AI RMF)</t>
  </si>
  <si>
    <t>Risk ID</t>
  </si>
  <si>
    <t>Risk Category</t>
  </si>
  <si>
    <t>NIST RMF
Function</t>
  </si>
  <si>
    <t>Risk Description</t>
  </si>
  <si>
    <t>Risk Owner</t>
  </si>
  <si>
    <t>Likelihood
(1-5)</t>
  </si>
  <si>
    <t>Impact
(1-5)</t>
  </si>
  <si>
    <t>Risk Score
(L×I)</t>
  </si>
  <si>
    <t>Priority</t>
  </si>
  <si>
    <t>Your Mitigation Strategy</t>
  </si>
  <si>
    <t>Mitigation
Status</t>
  </si>
  <si>
    <t>Your Residual
Likelihood</t>
  </si>
  <si>
    <t>Your Residual
Impact</t>
  </si>
  <si>
    <t>Residual
Score</t>
  </si>
  <si>
    <t>R-001</t>
  </si>
  <si>
    <t>Technical</t>
  </si>
  <si>
    <t>Measure</t>
  </si>
  <si>
    <t>Clinical hallucinations: Model generates plausible but fabricated medical references or diagnostic suggestions not supported by evidence (current rate: 3.4%)</t>
  </si>
  <si>
    <t>VP Engineering</t>
  </si>
  <si>
    <t>Implement an output-verification layer using a curated medical knowledge base, confidence thresholds, and physician reporting of hallucinations.</t>
  </si>
  <si>
    <t>In Progress</t>
  </si>
  <si>
    <t>R-002</t>
  </si>
  <si>
    <t>Ethical / Bias</t>
  </si>
  <si>
    <t>Map</t>
  </si>
  <si>
    <t>Demographic bias: Training data underrepresents Eastern European, Sub-Saharan African, and Southeast Asian populations, leading to potential diagnostic disparities</t>
  </si>
  <si>
    <t>Chief Medical Officer</t>
  </si>
  <si>
    <t>Conduct stratified performance audits, expand data for underrepresented populations, establish fairness thresholds, and implement continuous bias monitoring.</t>
  </si>
  <si>
    <t>Planned</t>
  </si>
  <si>
    <t>R-003</t>
  </si>
  <si>
    <t>Legal / Regulatory</t>
  </si>
  <si>
    <t>Govern</t>
  </si>
  <si>
    <t>EU AI Act non-compliance: Failure to complete conformity assessment before market entry could result in penalties up to 3% of global turnover and deployment prohibition</t>
  </si>
  <si>
    <t>Head of Compliance</t>
  </si>
  <si>
    <t>Engage a Notified Body, complete the conformity assessment and technical documentation, and monitor all regulatory deadlines before launch.</t>
  </si>
  <si>
    <t>R-004</t>
  </si>
  <si>
    <t>Privacy / Security</t>
  </si>
  <si>
    <t>Manage</t>
  </si>
  <si>
    <t>Patient data re-identification: Residual re-identification risk through quasi-identifier combinations or model memorization of training data patterns despite de-identification pipeline</t>
  </si>
  <si>
    <t>Data Protection Officer</t>
  </si>
  <si>
    <t>Conduct re-identification assessments, strengthen de-identification, apply differential privacy where appropriate, and perform membership-inference testing.</t>
  </si>
  <si>
    <t>R-005</t>
  </si>
  <si>
    <t>Operational</t>
  </si>
  <si>
    <t>Foundation model vendor dependency: FoundationHealth Inc. controls model weights, update cadence, and API availability. Unilateral updates could alter clinical performance; discontinuation would halt operations</t>
  </si>
  <si>
    <t>Add contractual protections for model versioning, rollback, update notification, and service continuity. Develop and test a fallback-model strategy.</t>
  </si>
  <si>
    <t>R-006</t>
  </si>
  <si>
    <t>Model drift: Performance degradation over time due to evolving clinical practices, new diseases, or changing patient populations without adequate monitoring</t>
  </si>
  <si>
    <t>Implement automated drift alerts, continuous performance monitoring, quarterly revalidation, and thresholds for retraining or system withdrawal.</t>
  </si>
  <si>
    <t>R-007</t>
  </si>
  <si>
    <t>Ethical / Safety</t>
  </si>
  <si>
    <t>Automation bias: Physicians may over-rely on ClinicalCompanion suggestions without sufficient independent judgment, particularly under time pressure or fatigue</t>
  </si>
  <si>
    <t>Require active physician confirmation, show uncertainty indicators, provide mandatory training, and monitor suggestion acceptance and override rates.</t>
  </si>
  <si>
    <t>R-008</t>
  </si>
  <si>
    <t>Cross-border data transfer: Patient data flowing between EU infrastructure and US-based FoundationHealth API may violate GDPR Chapter V, particularly post-Schrems II</t>
  </si>
  <si>
    <t>Prefer EU-only processing, implement Standard Contractual Clauses, complete a Transfer Impact Assessment, and evaluate EU-hosted alternatives.</t>
  </si>
  <si>
    <t>RISK SUMMARY (auto-calculated from your entries above)</t>
  </si>
  <si>
    <t>Total Risks:</t>
  </si>
  <si>
    <t>Average Risk Score:</t>
  </si>
  <si>
    <t>Critical (20-25):</t>
  </si>
  <si>
    <t>Max Risk Score:</t>
  </si>
  <si>
    <t>High (15-19):</t>
  </si>
  <si>
    <t>SCORING GUIDE</t>
  </si>
  <si>
    <t>Likelihood</t>
  </si>
  <si>
    <t>1 = Rare</t>
  </si>
  <si>
    <t>2 = Unlikely</t>
  </si>
  <si>
    <t>3 = Possible</t>
  </si>
  <si>
    <t>4 = Likely</t>
  </si>
  <si>
    <t>5 = Almost Certain</t>
  </si>
  <si>
    <t>Impact</t>
  </si>
  <si>
    <t>1 = Negligible</t>
  </si>
  <si>
    <t>2 = Minor</t>
  </si>
  <si>
    <t>3 = Moderate</t>
  </si>
  <si>
    <t>4 = Major</t>
  </si>
  <si>
    <t>5 = Catastrophic</t>
  </si>
  <si>
    <t>Critical: 20-25</t>
  </si>
  <si>
    <t>High: 15-19</t>
  </si>
  <si>
    <t>Medium: 10-14</t>
  </si>
  <si>
    <t>Low: 5-9</t>
  </si>
  <si>
    <t>Minimal: 1-4</t>
  </si>
  <si>
    <t>Vendor Evaluation</t>
  </si>
  <si>
    <t>THIRD-PARTY AI VENDOR EVALUATION — FoundationHealth Inc.</t>
  </si>
  <si>
    <t>SECTION A: Vendor Profile (reference data)</t>
  </si>
  <si>
    <t>Company Name:</t>
  </si>
  <si>
    <t>FoundationHealth Inc.</t>
  </si>
  <si>
    <t>Founded:</t>
  </si>
  <si>
    <t>2021</t>
  </si>
  <si>
    <t>Headquarters:</t>
  </si>
  <si>
    <t>San Francisco, CA, USA</t>
  </si>
  <si>
    <t>Funding:</t>
  </si>
  <si>
    <t>Series C ($180M, 2024)</t>
  </si>
  <si>
    <t>Employees:</t>
  </si>
  <si>
    <t>450</t>
  </si>
  <si>
    <t>Revenue:</t>
  </si>
  <si>
    <t>$85M (60% YoY, not yet profitable)</t>
  </si>
  <si>
    <t>Certifications:</t>
  </si>
  <si>
    <t>soc2_type2, iso_27001</t>
  </si>
  <si>
    <t>SLA Uptime:</t>
  </si>
  <si>
    <t>99.9%</t>
  </si>
  <si>
    <t>SECTION B: Evaluation Scorecard — enter scores from your notebook analysis</t>
  </si>
  <si>
    <t>Category</t>
  </si>
  <si>
    <t>Criteria
Count</t>
  </si>
  <si>
    <t>Your Total
Score</t>
  </si>
  <si>
    <t>Max
Score</t>
  </si>
  <si>
    <t>Your
Score %</t>
  </si>
  <si>
    <t>Your Risk
Level</t>
  </si>
  <si>
    <t>Key Finding</t>
  </si>
  <si>
    <t>Model Transparency &amp; Documentation</t>
  </si>
  <si>
    <t>Performance benchmarks are available, but training-data details, disaggregated metrics, and systematic failure-mode documentation remain incomplete.</t>
  </si>
  <si>
    <t>Data Privacy &amp; Security</t>
  </si>
  <si>
    <t>Strong security controls are in place, but the joint Transfer Impact Assessment for US data processing has not been completed.</t>
  </si>
  <si>
    <t>Model Governance &amp; Lifecycle</t>
  </si>
  <si>
    <t>Model versioning exists, but rollback, regression-testing transparency, fairness testing, and joint incident procedures need improvement.</t>
  </si>
  <si>
    <t>Contractual &amp; Business Continuity</t>
  </si>
  <si>
    <t>The vendor provides a 99.9% SLA and disaster recovery, but API-only access creates high lock-in and clinical liability coverage is insufficient.</t>
  </si>
  <si>
    <t>Regulatory &amp; Ethical Alignment</t>
  </si>
  <si>
    <t>The vendor supports responsible AI and regulatory cooperation, but it lacks ISO/IEC 42001 certification and formal external ethics oversight.</t>
  </si>
  <si>
    <t>OVERALL</t>
  </si>
  <si>
    <t>Strong privacy and security controls are offset by material transparency, governance, regulatory, contractual, and business-continuity gaps.</t>
  </si>
  <si>
    <t>Scoring guide:</t>
  </si>
  <si>
    <t>&gt;=80% = Low Risk</t>
  </si>
  <si>
    <t>60-79% = Medium Risk</t>
  </si>
  <si>
    <t>&lt;60% = High Risk</t>
  </si>
  <si>
    <t>SECTION C: Your Vendor Recommendation</t>
  </si>
  <si>
    <t>Recommendation:</t>
  </si>
  <si>
    <t>CONDITIONAL APPROVAL — FoundationHealth may be used only after additional contractual and governance controls are implemented. The overall score is 65.2%, representing Medium Risk. Strong privacy and security controls support engagement, but unresolved transparency, regulatory, fairness, vendor lock-in, cross-border transfer, and clinical liability risks prevent unconditional approval.</t>
  </si>
  <si>
    <t>Key Strengths:</t>
  </si>
  <si>
    <t>1. Current SOC 2 Type II and ISO 27001 certifications.
2. Strong security controls, including TLS 1.3, AES-256, annual penetration testing, and HIPAA compliance.
3. A 99.9% uptime SLA and documented disaster-recovery arrangements.
4. Model versioning, update notices, responsible AI principles, and willingness to support regulatory assessments.</t>
  </si>
  <si>
    <t>Key Weaknesses:</t>
  </si>
  <si>
    <t>1. Limited disclosure of training data, architecture details, disaggregated performance, and systematic failure modes.
2. Insufficient fairness testing for EU populations and limited regression-testing transparency.
3. High vendor lock-in due to API-only access, no model weights, no portability, and no escrow.
4. No ISO/IEC 42001 certification, incomplete Transfer Impact Assessment, and insufficient clinical liability coverage.</t>
  </si>
  <si>
    <t>Required Mitigations:</t>
  </si>
  <si>
    <t>Complete a joint Transfer Impact Assessment and evaluate EU-only processing. Obtain detailed training-data, Model Card, fairness, and regression-testing documentation. Validate every material model update before production use. Establish continuous vendor monitoring, a joint incident-response protocol, annual reassessment, and a tested fallback and exit strategy.</t>
  </si>
  <si>
    <t>Contractual Requirements:</t>
  </si>
  <si>
    <t>Require advance notice and approval of material model changes, version controls, rollback rights, audit and documentation access, EU data-transfer safeguards, subprocessor notification, strict incident-notification deadlines, and regulatory cooperation. Add stronger clinical liability and indemnification provisions, business-continuity testing rights, termination assistance, data-deletion requirements, and portability or escrow protections.</t>
  </si>
  <si>
    <t>Model Card</t>
  </si>
  <si>
    <t>MODEL CARD — ClinicalCompanion v1.0 (Mitchell et al., 2019)</t>
  </si>
  <si>
    <t>1. MODEL DETAILS (reference data)</t>
  </si>
  <si>
    <t>Model Name:</t>
  </si>
  <si>
    <t>FoundationHealth Medical LLM v3.2</t>
  </si>
  <si>
    <t>Version:</t>
  </si>
  <si>
    <t>1.0</t>
  </si>
  <si>
    <t>Type:</t>
  </si>
  <si>
    <t>Clinical Decision Support System (CDSS)</t>
  </si>
  <si>
    <t>Developer:</t>
  </si>
  <si>
    <t>MedAssist AI</t>
  </si>
  <si>
    <t>Planned Release:</t>
  </si>
  <si>
    <t>2025-09-01</t>
  </si>
  <si>
    <t>Architecture:</t>
  </si>
  <si>
    <t>Transformer-based, 7B parameters</t>
  </si>
  <si>
    <t>Access Method:</t>
  </si>
  <si>
    <t>API</t>
  </si>
  <si>
    <t>Provider:</t>
  </si>
  <si>
    <t>2. INTENDED USE (reference data)</t>
  </si>
  <si>
    <t>Primary Functions:</t>
  </si>
  <si>
    <t>Ranked diagnostic suggestions with confidence scores; Differential diagnosis support with reasoning; Evidence-based treatment considerations mapped to clinical guidelines; Risk flags for critical findings, drug interactions, deteriorating status</t>
  </si>
  <si>
    <t>Intended Users:</t>
  </si>
  <si>
    <t>Licensed physicians (primary care and specialists); Clinical fellows and residents (under attending supervision); Nurse practitioners and physician assistants (where authorized)</t>
  </si>
  <si>
    <t>Out-of-Scope:</t>
  </si>
  <si>
    <t>Autonomous diagnosis or treatment decisions; Standalone diagnostic tool (must not replace physician judgment); Patient-facing interface (no direct patient use); Pediatric populations (under 18) in initial release; Emergency triage as sole decision-making tool</t>
  </si>
  <si>
    <t>3. TRAINING DATA (reference data)</t>
  </si>
  <si>
    <t>Partner Hospital Network A (EU)</t>
  </si>
  <si>
    <t>280,000 records</t>
  </si>
  <si>
    <t>Germany, France, Netherlands</t>
  </si>
  <si>
    <t>EHR encounters</t>
  </si>
  <si>
    <t>Partner Hospital Network B (US)</t>
  </si>
  <si>
    <t>170,000 records</t>
  </si>
  <si>
    <t>United States (multi-state)</t>
  </si>
  <si>
    <t>PubMed Abstract Corpus</t>
  </si>
  <si>
    <t>2,100,000 records</t>
  </si>
  <si>
    <t>Global</t>
  </si>
  <si>
    <t>Medical literature abstracts</t>
  </si>
  <si>
    <t>Expert Clinical Q&amp;A</t>
  </si>
  <si>
    <t>12,000 records</t>
  </si>
  <si>
    <t>EU, US</t>
  </si>
  <si>
    <t>Curated Q&amp;A pairs</t>
  </si>
  <si>
    <t>Clinical Practice Guidelines</t>
  </si>
  <si>
    <t>340 records</t>
  </si>
  <si>
    <t>EU, US, WHO</t>
  </si>
  <si>
    <t>Practice guidelines</t>
  </si>
  <si>
    <t>Total Records:</t>
  </si>
  <si>
    <t>2,562,340</t>
  </si>
  <si>
    <t>4. KEY PERFORMANCE METRICS (from performance_metrics.csv)</t>
  </si>
  <si>
    <t>Overall Top-3 Accuracy:</t>
  </si>
  <si>
    <t>91.7%. It exceeds the 90% target and meets the overall performance requirement. However, the overall result hides significant subgroup disparities.</t>
  </si>
  <si>
    <t>Hallucination Rate:</t>
  </si>
  <si>
    <t>3.4%. It exceeds the maximum target of 2% and is not acceptable for unrestricted clinical deployment because fabricated diagnostic information could cause patient harm.</t>
  </si>
  <si>
    <t>Critical Finding Detection:</t>
  </si>
  <si>
    <t>94.2%. It is below the 95% target defined in the performance dataset. Additional validation and improvement are required before launch.</t>
  </si>
  <si>
    <t>Average Response Time:</t>
  </si>
  <si>
    <t>2.8 seconds. It meets the target of less than 5 seconds.</t>
  </si>
  <si>
    <t>Physician Override Rate:</t>
  </si>
  <si>
    <t>Not available in the provided dataset. Physicians can dismiss every suggestion, but the actual override rate must be measured after deployment to assess trust and automation bias.</t>
  </si>
  <si>
    <t>5. DISAGGREGATED PERFORMANCE (from performance_metrics.csv)</t>
  </si>
  <si>
    <t>Gender Parity:</t>
  </si>
  <si>
    <t>Male accuracy is 92.1% and female accuracy is 91.3%. Both meet the 90% target, and the difference is only 0.8 percentage points.</t>
  </si>
  <si>
    <t>Age Groups:</t>
  </si>
  <si>
    <t>Accuracy is 93.5% for ages 18–40, 92.0% for ages 41–64, and 88.9% for ages 65+. The 65+ group is 1.1 percentage points below the target.</t>
  </si>
  <si>
    <t>Specialty - Cardiovascular:</t>
  </si>
  <si>
    <t>94.1%. It exceeds the 90% target and demonstrates strong performance for cardiovascular cases.</t>
  </si>
  <si>
    <t>Specialty - Neurological:</t>
  </si>
  <si>
    <t>90.3%. It meets the 90% target, although the narrow margin requires continued monitoring.</t>
  </si>
  <si>
    <t>Specialty - Rare Diseases:</t>
  </si>
  <si>
    <t>71.2%, which is 18.8 percentage points below the target. This is the largest performance gap and indicates limited representation of rare-disease cases.</t>
  </si>
  <si>
    <t>Language - Non-English:</t>
  </si>
  <si>
    <t>84.3%, which is 5.7 percentage points below the target and 7.4 points below the overall result. This indicates possible language-representation and translation-related weaknesses.</t>
  </si>
  <si>
    <t>Complexity - Multi-morbidity:</t>
  </si>
  <si>
    <t>74.0%, which is 16.0 percentage points below the target. The model may not reliably handle complex patients with four or more simultaneous conditions.</t>
  </si>
  <si>
    <t>6. FAIRNESS METRICS (from performance_metrics.csv)</t>
  </si>
  <si>
    <t>Equalized Odds:</t>
  </si>
  <si>
    <t>0.96. It exceeds the target of 0.90 and indicates near parity in error rates across the evaluated gender groups.</t>
  </si>
  <si>
    <t>Demographic Parity:</t>
  </si>
  <si>
    <t>0.91. It exceeds the 0.90 target, but the lower accuracy for patients aged 65+ indicates that age-related disparities still require monitoring.</t>
  </si>
  <si>
    <t>Predictive Parity:</t>
  </si>
  <si>
    <t>0.94. It exceeds the target of 0.90 and indicates relatively consistent predictive precision across the evaluated clinical conditions.</t>
  </si>
  <si>
    <t>7. YOUR FAIRNESS ANALYSIS</t>
  </si>
  <si>
    <t>Gender Parity Assessment:</t>
  </si>
  <si>
    <t>The 0.8 percentage-point difference between male and female accuracy is small, and both groups exceed the target. The current gender gap is acceptable, subject to continued monitoring of accuracy and error rates.</t>
  </si>
  <si>
    <t>Age Group Equity:</t>
  </si>
  <si>
    <t>Patients aged 65+ underperform at 88.9%, while the younger groups exceed 92%. This may expose older patients to less reliable suggestions, particularly because they often have more complex clinical conditions.</t>
  </si>
  <si>
    <t>Underserved Populations:</t>
  </si>
  <si>
    <t>Rare diseases, non-English notes, and multi-morbidity show material performance gaps. These weaknesses create patient-safety and equal-treatment concerns and indicate possible dataset representativeness issues under EU AI Act Article 10. Broad use for these groups should be restricted until targeted validation and mitigation are completed.</t>
  </si>
  <si>
    <t>Fairness Metrics Interpretation:</t>
  </si>
  <si>
    <t>The aggregate fairness metrics meet their numerical targets, but they are not sufficient by themselves. They may conceal weak performance in smaller, linguistic, age-based, or clinically complex subgroups. Fairness assessment must also consider disaggregated accuracy, error rates, sample sizes, and intersectional comparisons.</t>
  </si>
  <si>
    <t>8. YOUR ETHICAL CONSIDERATIONS</t>
  </si>
  <si>
    <t>Bias Concerns:</t>
  </si>
  <si>
    <t>The main concerns involve underrepresentation of Eastern European, Sub-Saharan African, and Southeast Asian populations, as well as weaker performance for older patients, non-English records, rare diseases, and multi-morbidity. Mitigation should include targeted data collection, data augmentation, subgroup testing, fairness thresholds, and continuous bias monitoring.</t>
  </si>
  <si>
    <t>Patient Safety:</t>
  </si>
  <si>
    <t>The system uses physician review, confidence scores, safety flags, and override capability, and it does not automatically execute clinical decisions. These safeguards are important but are not sufficient because the hallucination rate exceeds target, critical-finding detection is below its target, and several high-risk subgroups underperform.</t>
  </si>
  <si>
    <t>Automation Bias:</t>
  </si>
  <si>
    <t>Physicians may over-rely on ranked suggestions, especially under time pressure or fatigue. Safeguards should include active confirmation, clear uncertainty indicators, independent clinical verification, mandatory training, audit logs, and monitoring of acceptance, dismissal, and override rates.</t>
  </si>
  <si>
    <t>Data Privacy:</t>
  </si>
  <si>
    <t>Health data is special-category data under GDPR Article 9. De-identification, TLS 1.3, AES-256, a Data Processing Agreement, and Standard Contractual Clauses provide partial protection. Handling is not fully adequate until the DPIA is updated, a Transfer Impact Assessment is completed, and US-based vendor data flows are fully documented.</t>
  </si>
  <si>
    <t>9. YOUR LIMITATIONS &amp; RECOMMENDATIONS</t>
  </si>
  <si>
    <t>Known Limitations:</t>
  </si>
  <si>
    <t>The main limitations are a 3.4% hallucination rate; critical-finding detection of 94.2% against a 95% target; weak performance for rare diseases, multi-morbidity, non-English notes, and patients aged 65+; limited training-data and vendor transparency; lack of a measured physician override rate; incomplete adversarial testing; cross-border data-transfer risk; and dependency on a third-party API. The system is not validated for pediatric use, autonomous diagnosis, direct patient use, or emergency triage as the sole decision mechanism.</t>
  </si>
  <si>
    <t>Recommendations:</t>
  </si>
  <si>
    <t>Before broad EU launch, reduce hallucinations below 2% and implement an output-verification layer. Improve and validate critical-finding detection and performance for underperforming subgroups. Expand representative data, perform intersectional fairness and adversarial testing, complete the Model Card and technical documentation, update the DPIA and Transfer Impact Assessment, and establish continuous monitoring for drift, incidents, subgroup performance, and physician overrides. Deployment should remain conditional and limited until the Critical and High risks are reduced or formally accepted.</t>
  </si>
  <si>
    <t>Monitoring &amp; Incidents</t>
  </si>
  <si>
    <t>POST-DEPLOYMENT MONITORING &amp; INCIDENT RESPONSE PLAN</t>
  </si>
  <si>
    <t>SECTION A: Key Performance Indicators (reference data)</t>
  </si>
  <si>
    <t>KPI ID</t>
  </si>
  <si>
    <t>Dimension</t>
  </si>
  <si>
    <t>Metric Name</t>
  </si>
  <si>
    <t>Measurement Method</t>
  </si>
  <si>
    <t>Frequency</t>
  </si>
  <si>
    <t>Threshold</t>
  </si>
  <si>
    <t>Escalation Trigger</t>
  </si>
  <si>
    <t>Responsible Role</t>
  </si>
  <si>
    <t>KPI-001</t>
  </si>
  <si>
    <t>Clinical Performance</t>
  </si>
  <si>
    <t>Top-3 Diagnostic Accuracy</t>
  </si>
  <si>
    <t>Comparison against physician-confirmed diagnoses (sampled)</t>
  </si>
  <si>
    <t>Weekly (sampled), Monthly (full)</t>
  </si>
  <si>
    <t>&gt;= 90%</t>
  </si>
  <si>
    <t>Drops below 88% for 2 consecutive weeks</t>
  </si>
  <si>
    <t>Data Science Team</t>
  </si>
  <si>
    <t>KPI-002</t>
  </si>
  <si>
    <t>Hallucination Rate</t>
  </si>
  <si>
    <t>Automated reference verification + physician flagging</t>
  </si>
  <si>
    <t>Daily (auto), Weekly (manual)</t>
  </si>
  <si>
    <t>&lt; 2% (current: 3.4%)</t>
  </si>
  <si>
    <t>Exceeds 5% or any critical hallucination</t>
  </si>
  <si>
    <t>KPI-003</t>
  </si>
  <si>
    <t>Critical Finding Detection</t>
  </si>
  <si>
    <t>Audit against known critical cases in test set</t>
  </si>
  <si>
    <t>Monthly</t>
  </si>
  <si>
    <t>&gt;= 93%</t>
  </si>
  <si>
    <t>Drops below 90%</t>
  </si>
  <si>
    <t>Clinical Safety Officer</t>
  </si>
  <si>
    <t>KPI-004</t>
  </si>
  <si>
    <t>False Positive Rate (Critical)</t>
  </si>
  <si>
    <t>Review of physician dismissal rates for critical alerts</t>
  </si>
  <si>
    <t>Weekly</t>
  </si>
  <si>
    <t>&lt; 10%</t>
  </si>
  <si>
    <t>Exceeds 15%</t>
  </si>
  <si>
    <t>KPI-005</t>
  </si>
  <si>
    <t>Drug Interaction Precision</t>
  </si>
  <si>
    <t>Comparison against PharmaDB ground truth</t>
  </si>
  <si>
    <t>&gt;= 85%</t>
  </si>
  <si>
    <t>Drops below 80%</t>
  </si>
  <si>
    <t>KPI-006</t>
  </si>
  <si>
    <t>Fairness &amp; Bias</t>
  </si>
  <si>
    <t>Accuracy Parity (age groups)</t>
  </si>
  <si>
    <t>Stratified accuracy comparison across age brackets</t>
  </si>
  <si>
    <t>Max gap &lt; 5% across standard groups</t>
  </si>
  <si>
    <t>Any group drops &gt;7% below overall</t>
  </si>
  <si>
    <t>AI Governance Analyst</t>
  </si>
  <si>
    <t>KPI-007</t>
  </si>
  <si>
    <t>Accuracy Parity (gender)</t>
  </si>
  <si>
    <t>Stratified accuracy by gender</t>
  </si>
  <si>
    <t>Max gap &lt; 3%</t>
  </si>
  <si>
    <t>Gap exceeds 5%</t>
  </si>
  <si>
    <t>KPI-008</t>
  </si>
  <si>
    <t>Equalized Odds</t>
  </si>
  <si>
    <t>FPR/FNR comparison across demographics</t>
  </si>
  <si>
    <t>Quarterly</t>
  </si>
  <si>
    <t>&gt;= 0.90 across groups</t>
  </si>
  <si>
    <t>Drops below 0.85 for any group</t>
  </si>
  <si>
    <t>KPI-009</t>
  </si>
  <si>
    <t>Underrepresented Pop. Performance</t>
  </si>
  <si>
    <t>Dedicated evaluation on underrepresented data</t>
  </si>
  <si>
    <t>Improving trend toward parity</t>
  </si>
  <si>
    <t>Performance gap widening</t>
  </si>
  <si>
    <t>KPI-010</t>
  </si>
  <si>
    <t>System Uptime</t>
  </si>
  <si>
    <t>AWS CloudWatch infrastructure monitoring</t>
  </si>
  <si>
    <t>Real-time</t>
  </si>
  <si>
    <t>&gt;= 99.9%</t>
  </si>
  <si>
    <t>Drops below 99.5% in any month</t>
  </si>
  <si>
    <t>KPI-011</t>
  </si>
  <si>
    <t>Average Response Latency</t>
  </si>
  <si>
    <t>API response time tracking</t>
  </si>
  <si>
    <t>&lt; 5 seconds (p95)</t>
  </si>
  <si>
    <t>p95 exceeds 8 seconds</t>
  </si>
  <si>
    <t>KPI-012</t>
  </si>
  <si>
    <t>API Error Rate</t>
  </si>
  <si>
    <t>HTTP error code monitoring</t>
  </si>
  <si>
    <t>&lt; 0.1%</t>
  </si>
  <si>
    <t>Exceeds 1%</t>
  </si>
  <si>
    <t>KPI-013</t>
  </si>
  <si>
    <t>Vendor API Availability</t>
  </si>
  <si>
    <t>FoundationHealth API health checks</t>
  </si>
  <si>
    <t>&gt;= 99.9% per SLA</t>
  </si>
  <si>
    <t>Any outage &gt; 15 minutes</t>
  </si>
  <si>
    <t>KPI-014</t>
  </si>
  <si>
    <t>Data Quality</t>
  </si>
  <si>
    <t>Input Data Completeness</t>
  </si>
  <si>
    <t>Validation of required EHR fields</t>
  </si>
  <si>
    <t>Per-request</t>
  </si>
  <si>
    <t>&gt;= 95% completeness</t>
  </si>
  <si>
    <t>KPI-015</t>
  </si>
  <si>
    <t>De-identification Validation</t>
  </si>
  <si>
    <t>Automated PII scanning of model inputs</t>
  </si>
  <si>
    <t>Daily</t>
  </si>
  <si>
    <t>0 PII leaks</t>
  </si>
  <si>
    <t>Any PII detected in model input</t>
  </si>
  <si>
    <t>KPI-016</t>
  </si>
  <si>
    <t>Data Drift Detection</t>
  </si>
  <si>
    <t>Statistical comparison of input distributions vs training data (KL divergence)</t>
  </si>
  <si>
    <t>KL divergence &lt; 0.1</t>
  </si>
  <si>
    <t>KL divergence exceeds 0.2</t>
  </si>
  <si>
    <t>SECTION B: AI-Specific Incident Taxonomy (from incident_types.csv)</t>
  </si>
  <si>
    <t>Incident ID</t>
  </si>
  <si>
    <t>Incident Type</t>
  </si>
  <si>
    <t>Example</t>
  </si>
  <si>
    <t>Severity Range</t>
  </si>
  <si>
    <t>Detection Method</t>
  </si>
  <si>
    <t>INC-01</t>
  </si>
  <si>
    <t>Clinical Hallucination</t>
  </si>
  <si>
    <t>Model generates fabricated medical information, references, or diagnoses.</t>
  </si>
  <si>
    <t>Recommending a nonexistent drug or citing a nonexistent clinical trial.</t>
  </si>
  <si>
    <t>S2–S1</t>
  </si>
  <si>
    <t>Automated reference verification and physician flagging.</t>
  </si>
  <si>
    <t>INC-02</t>
  </si>
  <si>
    <t>Harmful Suggestion</t>
  </si>
  <si>
    <t>Model output could lead to patient harm if followed.</t>
  </si>
  <si>
    <t>Suggesting contraindicated medication for a documented allergy.</t>
  </si>
  <si>
    <t>S1</t>
  </si>
  <si>
    <t>Physician reporting and safety-filter logs.</t>
  </si>
  <si>
    <t>INC-03</t>
  </si>
  <si>
    <t>Bias-Related Harm</t>
  </si>
  <si>
    <t>Model demonstrates systematic bias affecting care quality for specific groups.</t>
  </si>
  <si>
    <t>Consistently lower diagnostic accuracy for a particular ethnic or age group.</t>
  </si>
  <si>
    <t>Stratified performance monitoring and fairness dashboards.</t>
  </si>
  <si>
    <t>INC-04</t>
  </si>
  <si>
    <t>Privacy Breach</t>
  </si>
  <si>
    <t>Patient-identifiable information is exposed through model behavior.</t>
  </si>
  <si>
    <t>Model outputs a patient name or medical record number after a de-identification failure.</t>
  </si>
  <si>
    <t>Automated PII scanning and audit-log review.</t>
  </si>
  <si>
    <t>INC-05</t>
  </si>
  <si>
    <t>Performance Degradation</t>
  </si>
  <si>
    <t>Significant decline in model accuracy or reliability.</t>
  </si>
  <si>
    <t>Overall Top-3 accuracy falls below 85%.</t>
  </si>
  <si>
    <t>S3-S2</t>
  </si>
  <si>
    <t>Automated KPI monitoring alerts.</t>
  </si>
  <si>
    <t>INC-06</t>
  </si>
  <si>
    <t>Adversarial Manipulation</t>
  </si>
  <si>
    <t>Deliberate attempt to manipulate model outputs.</t>
  </si>
  <si>
    <t>Prompt injection through crafted clinical notes changes diagnostic suggestions.</t>
  </si>
  <si>
    <t>Security monitoring and anomaly detection.</t>
  </si>
  <si>
    <t>INC-07</t>
  </si>
  <si>
    <t>Vendor Service Disruption</t>
  </si>
  <si>
    <t>FoundationHealth API outage or significant degradation.</t>
  </si>
  <si>
    <t>API errors, timeouts, or unacceptable latency lasting more than 15 minutes.</t>
  </si>
  <si>
    <t>Real-time API health checks.</t>
  </si>
  <si>
    <t>INC-08</t>
  </si>
  <si>
    <t>Data Pipeline Failure</t>
  </si>
  <si>
    <t>Failure in data ingestion, de-identification, or processing.</t>
  </si>
  <si>
    <t>De-identification fails and raw patient data is transmitted to the model API.</t>
  </si>
  <si>
    <t>Pipeline health monitoring and automated validation.</t>
  </si>
  <si>
    <t>INC-09</t>
  </si>
  <si>
    <t>Unauthorized Access</t>
  </si>
  <si>
    <t>An unauthorized person obtains access to the system or patient data.</t>
  </si>
  <si>
    <t>Compromised physician credentials are used to query ClinicalCompanion.</t>
  </si>
  <si>
    <t>Authentication logs and SIEM alerts.</t>
  </si>
  <si>
    <t>INC-10</t>
  </si>
  <si>
    <t>Regulatory Non-Compliance</t>
  </si>
  <si>
    <t>Failure to meet an applicable regulatory requirement.</t>
  </si>
  <si>
    <t>A post-market monitoring requirement is not completed by the regulatory deadline.</t>
  </si>
  <si>
    <t>Compliance calendar and internal audit.</t>
  </si>
  <si>
    <t>SECTION C: Severity Classification &amp; Response Times (from severity_levels.csv)</t>
  </si>
  <si>
    <t>Severity</t>
  </si>
  <si>
    <t>Label</t>
  </si>
  <si>
    <t>Definition</t>
  </si>
  <si>
    <t>Response Time</t>
  </si>
  <si>
    <t>Response
(hours)</t>
  </si>
  <si>
    <t>Containment Action</t>
  </si>
  <si>
    <t>Incident Commander</t>
  </si>
  <si>
    <t>Immediate risk to patient safety or major regulatory violation. The system must be halted.</t>
  </si>
  <si>
    <t>Immediate (30 min)</t>
  </si>
  <si>
    <t>Suspend ClinicalCompanion in affected facilities, notify users, preserve logs, activate the full response team, and assess regulatory notification requirements.</t>
  </si>
  <si>
    <t>S2</t>
  </si>
  <si>
    <t>Potential risk to patient safety or significant compliance issue requiring urgent action.</t>
  </si>
  <si>
    <t>Within 2 hours</t>
  </si>
  <si>
    <t>Restrict affected functionality, increase monitoring, notify facility administrators, preserve evidence, and begin root-cause analysis.</t>
  </si>
  <si>
    <t>S3</t>
  </si>
  <si>
    <t>Degraded performance or moderate compliance concern requiring prompt action.</t>
  </si>
  <si>
    <t>Within 24 hours</t>
  </si>
  <si>
    <t>Apply temporary guardrails, increase monitoring of affected metrics, and schedule corrective work.</t>
  </si>
  <si>
    <t>S4</t>
  </si>
  <si>
    <t>Minor issue with limited impact that can be resolved through the standard development process.</t>
  </si>
  <si>
    <t>Within 1 week</t>
  </si>
  <si>
    <t>Record the incident, track it in the backlog, and address it during the standard development cycle.</t>
  </si>
  <si>
    <t>Data Science Team Lead</t>
  </si>
  <si>
    <t>SECTION D: Your Escalation &amp; Communication Procedures</t>
  </si>
  <si>
    <t>Internal Escalation Path:</t>
  </si>
  <si>
    <t>The person or automated control detecting the incident must immediately notify the system owner and record the event in the incident-management system. S1 incidents activate the full response team within 30 minutes, led by the Chief Medical Officer, with immediate notification to the VP Engineering, Data Protection Officer, Head of Compliance, executive leadership, and affected hospital administrators. S2 incidents are led by the VP Engineering and escalated within two hours to clinical safety, privacy, compliance, and facility leadership. S3 incidents are coordinated by the AI Governance Analyst within 24 hours. S4 incidents are managed by the Data Science Team Lead through the standard backlog. Any indication of patient harm, privacy exposure, or broader impact requires escalation to the next severity level.</t>
  </si>
  <si>
    <t>External Notification (Regulatory):</t>
  </si>
  <si>
    <t>For a serious incident involving the high-risk AI system, MedAssist AI must notify the competent market-surveillance authority in the Member State where the incident occurred. Notification must occur immediately after establishing a causal link or reasonable likelihood of a link and no later than 15 days after awareness. More urgent statutory deadlines apply to widespread incidents and incidents involving death. MedAssist AI must preserve evidence, investigate the incident, implement corrective actions, and cooperate with the competent authority and Notified Body. Applicable MDR and GDPR notification requirements must also be followed.</t>
  </si>
  <si>
    <t>Communication to Affected Users:</t>
  </si>
  <si>
    <t>Affected hospital administrators and clinical safety leads must receive immediate notification through the agreed emergency channels. The communication must identify the affected functionality and facilities, explain whether the system is degraded, restricted, or suspended, and provide temporary clinical instructions, including independent verification of AI suggestions. Users must receive regular status updates, expected restoration timing, support contacts, and a final recovery notice. Communications must not disclose unnecessary patient information.</t>
  </si>
  <si>
    <t>Lessons Learned Process:</t>
  </si>
  <si>
    <t>After containment and recovery, the incident team must conduct a documented post-incident review covering the timeline, root cause, affected patients and subgroups, control failures, response effectiveness, and regulatory impact. Corrective and preventive actions must receive owners and deadlines. Findings must update the risk register, Model Card, technical documentation, monitoring thresholds, training materials, validation tests, vendor controls, and incident procedures. Repeated incidents and overdue actions must be escalated to the AI Governance Committee and included in board reporting.</t>
  </si>
  <si>
    <t>Monitoring Gaps You Identified:</t>
  </si>
  <si>
    <t>The current KPI framework covers clinical performance, fairness, uptime, data quality, and drift, but several risks remain incompletely monitored. There is no KPI for physician override or acceptance rates, limiting detection of automation bias. There is no dedicated metric for vendor model changes, regression after updates, or vendor concentration risk. Cross-border data transfers and regulatory deadlines lack continuous compliance indicators. PII scanning does not fully measure re-identification or model memorization risk. Adversarial manipulation appears in the incident taxonomy but does not have a recurring security KPI. These monitoring gaps should be addressed before broad deployment.</t>
  </si>
  <si>
    <t>Executive Summary</t>
  </si>
  <si>
    <t>EXECUTIVE GOVERNANCE SUMMARY — BOARD BRIEFING</t>
  </si>
  <si>
    <t>Synthesize ALL your findings from the notebook and previous sheets into a board-ready summary.</t>
  </si>
  <si>
    <t>1. SYSTEM OVERVIEW</t>
  </si>
  <si>
    <t>System:</t>
  </si>
  <si>
    <t>ClinicalCompanion v1.0 is a generative AI Clinical Decision Support System developed by MedAssist AI using FoundationHealth Medical LLM v3.2.</t>
  </si>
  <si>
    <t>Purpose:</t>
  </si>
  <si>
    <t>The system analyzes patient records and provides physicians with ranked diagnostic suggestions, confidence scores, clinical reasoning, treatment considerations, and safety alerts. It supports but does not replace physician judgment.</t>
  </si>
  <si>
    <t>Target Market:</t>
  </si>
  <si>
    <t>The system is intended for launch in the European Union within the original three-month project timeline. Initial deployment covers authorized adult-care settings and excludes pediatric use, autonomous diagnosis, direct patient use, and emergency triage as the sole decision mechanism.</t>
  </si>
  <si>
    <t>2. RISK CLASSIFICATION</t>
  </si>
  <si>
    <t>EU AI Act Classification:</t>
  </si>
  <si>
    <t>HIGH-RISK AI SYSTEM under EU AI Act Article 6(1), Annex I, Section A. ClinicalCompanion is medical device software covered by MDR 2017/745 and requires third-party conformity assessment.</t>
  </si>
  <si>
    <t>MDR Classification:</t>
  </si>
  <si>
    <t>Working classification: Class IIa medical device software under MDR Annex VIII, Rule 11. The final classification must be confirmed during the conformity assessment.</t>
  </si>
  <si>
    <t>Key Regulatory Obligations:</t>
  </si>
  <si>
    <t>The main obligations are continuous risk management and residual-risk evaluation; representative and governed datasets; complete technical documentation and automatic logging; transparency and effective human oversight; and appropriate accuracy, robustness, cybersecurity, post-market monitoring, and conformity assessment.</t>
  </si>
  <si>
    <t>3. COMPLIANCE READINESS</t>
  </si>
  <si>
    <t>Overall Readiness:</t>
  </si>
  <si>
    <t>54.2% overall governance readiness, representing Medium Risk. Human oversight is the strongest area at 85%, while MDR CE marking, post-market monitoring, EU AI Act conformity, and technical documentation remain incomplete.</t>
  </si>
  <si>
    <t>Critical Gaps:</t>
  </si>
  <si>
    <t>The most urgent gap is accuracy and patient safety because the hallucination rate is 3.4%, above the 2% target. Other High gaps include incomplete risk-management formalization, residual-risk acceptance, third-party data governance, dataset representativeness, and adversarial robustness testing.</t>
  </si>
  <si>
    <t>Timeline to Full Compliance:</t>
  </si>
  <si>
    <t>At least three months, assuming immediate remediation. The timeline is driven by hallucination reduction, subgroup validation, technical documentation, DPIA and transfer assessments, robustness testing, residual-risk approval, and completion of the MDR conformity assessment. External Notified Body timing may require postponing launch.</t>
  </si>
  <si>
    <t>4. KEY RISKS</t>
  </si>
  <si>
    <t>Top Risk:</t>
  </si>
  <si>
    <t>R-001 Clinical Hallucinations, with a score of 20 (Critical). Fabricated medical information or unsupported diagnostic suggestions could cause patient harm, regulatory action, reputational damage, and suspension of deployment.</t>
  </si>
  <si>
    <t>Risk Landscape:</t>
  </si>
  <si>
    <t>The register contains eight risks: 1 Critical, 5 High, and 2 Medium under the workbook scoring guide. The average pre-mitigation score is 15.0, and the maximum score is 20.</t>
  </si>
  <si>
    <t>Mitigation Effectiveness:</t>
  </si>
  <si>
    <t>The total risk score falls from 120 to 63, a 47.5% reduction. This is meaningful but not sufficient for unrestricted launch because material residual risks remain and their acceptability has not been formally approved.</t>
  </si>
  <si>
    <t>5. VENDOR ASSESSMENT</t>
  </si>
  <si>
    <t>Vendor:</t>
  </si>
  <si>
    <t>FoundationHealth Inc. received an overall governance score of 88 out of 135, or 65.2%, representing Medium Risk.</t>
  </si>
  <si>
    <t>CONDITIONAL APPROVAL. Engagement may proceed only after additional contractual, transparency, regulatory, data-transfer, testing, and business-continuity safeguards are implemented.</t>
  </si>
  <si>
    <t>Key Concern:</t>
  </si>
  <si>
    <t>The largest vendor concern is high lock-in. MedAssist depends on API-only access without model weights, portability, or escrow. A vendor outage, unilateral model change, or service discontinuation could interrupt clinical operations or change system performance.</t>
  </si>
  <si>
    <t>6. MODEL PERFORMANCE</t>
  </si>
  <si>
    <t>Overall Accuracy:</t>
  </si>
  <si>
    <t>Overall Top-3 Diagnostic Accuracy is 91.7%, exceeding the 90% target. However, this aggregate result conceals substantial subgroup performance gaps.</t>
  </si>
  <si>
    <t>Fairness Concerns:</t>
  </si>
  <si>
    <t>Performance is below target for patients aged 65+ at 88.9%, non-English notes at 84.3%, multi-morbidity cases at 74.0%, and rare diseases at 71.2%. These results raise dataset-representativeness, equal-treatment, and patient-safety concerns.</t>
  </si>
  <si>
    <t>Critical Issue:</t>
  </si>
  <si>
    <t>The hallucination rate is 3.4%, above the maximum target of 2%. In a clinical environment, fabricated evidence or unsupported recommendations could influence diagnosis or treatment and cause direct patient harm.</t>
  </si>
  <si>
    <t>7. BOARD RECOMMENDATION</t>
  </si>
  <si>
    <t>Launch Readiness:</t>
  </si>
  <si>
    <t>CONDITIONAL — ClinicalCompanion is not ready for an unrestricted EU launch in its current state. Launch approval should depend on completion and independent validation of the required conditions.</t>
  </si>
  <si>
    <t>Conditions for Launch:</t>
  </si>
  <si>
    <t>Before launch, MedAssist must close or formally accept all Critical and High risks, reduce hallucinations below 2%, complete MDR and EU AI Act conformity requirements, improve performance for high-risk subgroups, complete technical and monitoring documentation, update the DPIA and Transfer Impact Assessment, and implement the required vendor protections.</t>
  </si>
  <si>
    <t>Required Actions (prioritized):</t>
  </si>
  <si>
    <t>1. Reduce the hallucination rate below 2% and implement an independent output-verification layer.
2. Complete the MDR conformity assessment, EU AI Act technical documentation, and formal residual-risk approval.
3. Improve and validate performance for rare diseases, multi-morbidity, non-English notes, and patients aged 65+.
4. Complete adversarial testing, post-market monitoring, incident-response controls, the DPIA update, and the Transfer Impact Assessment.
5. Finalize vendor protections covering model changes, audit rights, data transfers, incident notification, clinical liability, rollback, portability, and business continuity.</t>
  </si>
  <si>
    <t>Estimated Time to Readiness:</t>
  </si>
  <si>
    <t>Approximately three months if remediation begins immediately and the Notified Body review remains on schedule. If critical safety targets or conformity-assessment requirements are not completed, the EU launch should be postponed.</t>
  </si>
</sst>
</file>

<file path=xl/styles.xml><?xml version="1.0" encoding="utf-8"?>
<styleSheet xmlns="http://schemas.openxmlformats.org/spreadsheetml/2006/main">
  <numFmts count="2">
    <numFmt numFmtId="0" formatCode="General"/>
    <numFmt numFmtId="59" formatCode="0.0"/>
  </numFmts>
  <fonts count="1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Arial"/>
    </font>
    <font>
      <b val="1"/>
      <sz val="11"/>
      <color indexed="16"/>
      <name val="Arial"/>
    </font>
    <font>
      <b val="1"/>
      <sz val="12"/>
      <color indexed="12"/>
      <name val="Arial"/>
    </font>
    <font>
      <sz val="10"/>
      <color indexed="8"/>
      <name val="Arial"/>
    </font>
    <font>
      <i val="1"/>
      <sz val="10"/>
      <color indexed="20"/>
      <name val="Arial"/>
    </font>
    <font>
      <b val="1"/>
      <sz val="10"/>
      <color indexed="8"/>
      <name val="Arial"/>
    </font>
  </fonts>
  <fills count="1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s>
  <borders count="16">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5"/>
      </bottom>
      <diagonal/>
    </border>
    <border>
      <left style="thin">
        <color indexed="14"/>
      </left>
      <right style="thin">
        <color indexed="14"/>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style="thin">
        <color indexed="14"/>
      </right>
      <top style="thin">
        <color indexed="15"/>
      </top>
      <bottom style="thin">
        <color indexed="14"/>
      </bottom>
      <diagonal/>
    </border>
    <border>
      <left style="thin">
        <color indexed="15"/>
      </left>
      <right style="thin">
        <color indexed="14"/>
      </right>
      <top style="thin">
        <color indexed="15"/>
      </top>
      <bottom style="thin">
        <color indexed="15"/>
      </bottom>
      <diagonal/>
    </border>
    <border>
      <left style="thin">
        <color indexed="14"/>
      </left>
      <right style="thin">
        <color indexed="14"/>
      </right>
      <top style="thin">
        <color indexed="15"/>
      </top>
      <bottom style="thin">
        <color indexed="15"/>
      </bottom>
      <diagonal/>
    </border>
    <border>
      <left style="thin">
        <color indexed="14"/>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s>
  <cellStyleXfs count="1">
    <xf numFmtId="0" fontId="0" applyNumberFormat="0" applyFont="1" applyFill="0" applyBorder="0" applyAlignment="1" applyProtection="0">
      <alignment vertical="bottom"/>
    </xf>
  </cellStyleXfs>
  <cellXfs count="4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49" fontId="7" fillId="5" borderId="6" applyNumberFormat="1" applyFont="1" applyFill="1" applyBorder="1" applyAlignment="1" applyProtection="0">
      <alignment vertical="bottom"/>
    </xf>
    <xf numFmtId="0" fontId="7" fillId="5" borderId="6" applyNumberFormat="0" applyFont="1" applyFill="1" applyBorder="1" applyAlignment="1" applyProtection="0">
      <alignment vertical="bottom"/>
    </xf>
    <xf numFmtId="49" fontId="8" fillId="6" borderId="6" applyNumberFormat="1" applyFont="1" applyFill="1" applyBorder="1" applyAlignment="1" applyProtection="0">
      <alignment horizontal="center" vertical="center" wrapText="1"/>
    </xf>
    <xf numFmtId="49" fontId="9" fillId="7" borderId="6" applyNumberFormat="1" applyFont="1" applyFill="1" applyBorder="1" applyAlignment="1" applyProtection="0">
      <alignment vertical="top" wrapText="1"/>
    </xf>
    <xf numFmtId="49" fontId="10" fillId="8" borderId="6" applyNumberFormat="1" applyFont="1" applyFill="1" applyBorder="1" applyAlignment="1" applyProtection="0">
      <alignment vertical="top" wrapText="1"/>
    </xf>
    <xf numFmtId="0" fontId="0" borderId="7" applyNumberFormat="0" applyFont="1" applyFill="0" applyBorder="1" applyAlignment="1" applyProtection="0">
      <alignment vertical="bottom"/>
    </xf>
    <xf numFmtId="49" fontId="11" fillId="7" borderId="6" applyNumberFormat="1" applyFont="1" applyFill="1" applyBorder="1" applyAlignment="1" applyProtection="0">
      <alignment vertical="top"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9" borderId="1" applyNumberFormat="1" applyFont="1" applyFill="1" applyBorder="1" applyAlignment="1" applyProtection="0">
      <alignment horizontal="center" vertical="bottom"/>
    </xf>
    <xf numFmtId="49" fontId="8" fillId="9" borderId="6" applyNumberFormat="1" applyFont="1" applyFill="1" applyBorder="1" applyAlignment="1" applyProtection="0">
      <alignment horizontal="center" vertical="center" wrapText="1"/>
    </xf>
    <xf numFmtId="0" fontId="9" fillId="7" borderId="6" applyNumberFormat="1" applyFont="1" applyFill="1" applyBorder="1" applyAlignment="1" applyProtection="0">
      <alignment vertical="top" wrapText="1"/>
    </xf>
    <xf numFmtId="0" fontId="10" fillId="8" borderId="6" applyNumberFormat="1" applyFont="1" applyFill="1" applyBorder="1" applyAlignment="1" applyProtection="0">
      <alignment vertical="top" wrapText="1"/>
    </xf>
    <xf numFmtId="0" fontId="9" fillId="7" borderId="6" applyNumberFormat="1" applyFont="1" applyFill="1" applyBorder="1" applyAlignment="1" applyProtection="0">
      <alignment vertical="bottom"/>
    </xf>
    <xf numFmtId="0" fontId="9" borderId="6" applyNumberFormat="1" applyFont="1" applyFill="0" applyBorder="1" applyAlignment="1" applyProtection="0">
      <alignment vertical="bottom"/>
    </xf>
    <xf numFmtId="0" fontId="0" borderId="11" applyNumberFormat="0" applyFont="1" applyFill="0" applyBorder="1" applyAlignment="1" applyProtection="0">
      <alignment vertical="bottom"/>
    </xf>
    <xf numFmtId="59" fontId="9" borderId="6" applyNumberFormat="1"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10" borderId="1" applyNumberFormat="1" applyFont="1" applyFill="1" applyBorder="1" applyAlignment="1" applyProtection="0">
      <alignment horizontal="center" vertical="bottom"/>
    </xf>
    <xf numFmtId="49" fontId="8" fillId="10" borderId="6" applyNumberFormat="1" applyFont="1" applyFill="1" applyBorder="1" applyAlignment="1" applyProtection="0">
      <alignment horizontal="center" vertical="center" wrapText="1"/>
    </xf>
    <xf numFmtId="59" fontId="9" fillId="7" borderId="6" applyNumberFormat="1" applyFont="1" applyFill="1" applyBorder="1" applyAlignment="1" applyProtection="0">
      <alignment vertical="bottom"/>
    </xf>
    <xf numFmtId="0" fontId="0" applyNumberFormat="1" applyFont="1" applyFill="0" applyBorder="0" applyAlignment="1" applyProtection="0">
      <alignment vertical="bottom"/>
    </xf>
    <xf numFmtId="49" fontId="6" fillId="11" borderId="1"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49" fontId="6" fillId="12" borderId="1" applyNumberFormat="1" applyFont="1" applyFill="1" applyBorder="1" applyAlignment="1" applyProtection="0">
      <alignment horizontal="center" vertical="bottom"/>
    </xf>
    <xf numFmtId="49" fontId="8" fillId="12" borderId="6"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6" fillId="13" borderId="1" applyNumberFormat="1" applyFont="1" applyFill="1" applyBorder="1" applyAlignment="1" applyProtection="0">
      <alignment horizontal="center" vertical="bottom"/>
    </xf>
    <xf numFmtId="49" fontId="10" borderId="15"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c0392b"/>
      <rgbColor rgb="ffaaaaaa"/>
      <rgbColor rgb="ffbdc3c7"/>
      <rgbColor rgb="ff2c3e50"/>
      <rgbColor rgb="ffd5dbdb"/>
      <rgbColor rgb="ff922b21"/>
      <rgbColor rgb="fff2f3f4"/>
      <rgbColor rgb="ff7f8c8d"/>
      <rgbColor rgb="fffef9e7"/>
      <rgbColor rgb="ffd35400"/>
      <rgbColor rgb="ff2980b9"/>
      <rgbColor rgb="ff8e44ad"/>
      <rgbColor rgb="ff229954"/>
      <rgbColor rgb="ff6c348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128</v>
      </c>
      <c r="C11" s="3"/>
      <c r="D11" s="3"/>
    </row>
    <row r="12">
      <c r="B12" s="4"/>
      <c r="C12" t="s" s="4">
        <v>5</v>
      </c>
      <c r="D12" t="s" s="5">
        <v>128</v>
      </c>
    </row>
    <row r="13">
      <c r="B13" t="s" s="3">
        <v>208</v>
      </c>
      <c r="C13" s="3"/>
      <c r="D13" s="3"/>
    </row>
    <row r="14">
      <c r="B14" s="4"/>
      <c r="C14" t="s" s="4">
        <v>5</v>
      </c>
      <c r="D14" t="s" s="5">
        <v>208</v>
      </c>
    </row>
    <row r="15">
      <c r="B15" t="s" s="3">
        <v>262</v>
      </c>
      <c r="C15" s="3"/>
      <c r="D15" s="3"/>
    </row>
    <row r="16">
      <c r="B16" s="4"/>
      <c r="C16" t="s" s="4">
        <v>5</v>
      </c>
      <c r="D16" t="s" s="5">
        <v>262</v>
      </c>
    </row>
    <row r="17">
      <c r="B17" t="s" s="3">
        <v>365</v>
      </c>
      <c r="C17" s="3"/>
      <c r="D17" s="3"/>
    </row>
    <row r="18">
      <c r="B18" s="4"/>
      <c r="C18" t="s" s="4">
        <v>5</v>
      </c>
      <c r="D18" t="s" s="5">
        <v>365</v>
      </c>
    </row>
    <row r="19">
      <c r="B19" t="s" s="3">
        <v>563</v>
      </c>
      <c r="C19" s="3"/>
      <c r="D19" s="3"/>
    </row>
    <row r="20">
      <c r="B20" s="4"/>
      <c r="C20" t="s" s="4">
        <v>5</v>
      </c>
      <c r="D20" t="s" s="5">
        <v>563</v>
      </c>
    </row>
  </sheetData>
  <mergeCells count="1">
    <mergeCell ref="B3:D3"/>
  </mergeCells>
  <hyperlinks>
    <hyperlink ref="D10" location="'EU AI Act Classification'!R1C1" tooltip="" display="EU AI Act Classification"/>
    <hyperlink ref="D12" location="'Risk Register'!R1C1" tooltip="" display="Risk Register"/>
    <hyperlink ref="D14" location="'Vendor Evaluation'!R1C1" tooltip="" display="Vendor Evaluation"/>
    <hyperlink ref="D16" location="'Model Card'!R1C1" tooltip="" display="Model Card"/>
    <hyperlink ref="D18" location="'Monitoring &amp; Incidents'!R1C1" tooltip="" display="Monitoring &amp; Incidents"/>
    <hyperlink ref="D20" location="'Executive Summary'!R1C1" tooltip="" display="Executive Summary"/>
  </hyperlinks>
</worksheet>
</file>

<file path=xl/worksheets/sheet2.xml><?xml version="1.0" encoding="utf-8"?>
<worksheet xmlns:r="http://schemas.openxmlformats.org/officeDocument/2006/relationships" xmlns="http://schemas.openxmlformats.org/spreadsheetml/2006/main">
  <dimension ref="A1:F35"/>
  <sheetViews>
    <sheetView workbookViewId="0" showGridLines="0" defaultGridColor="1"/>
  </sheetViews>
  <sheetFormatPr defaultColWidth="8.83333" defaultRowHeight="15" customHeight="1" outlineLevelRow="0" outlineLevelCol="0"/>
  <cols>
    <col min="1" max="1" width="25" style="6" customWidth="1"/>
    <col min="2" max="2" width="35" style="6" customWidth="1"/>
    <col min="3" max="3" width="45" style="6" customWidth="1"/>
    <col min="4" max="4" width="35" style="6" customWidth="1"/>
    <col min="5" max="5" width="25" style="6" customWidth="1"/>
    <col min="6" max="6" width="40" style="6" customWidth="1"/>
    <col min="7" max="16384" width="8.85156" style="6" customWidth="1"/>
  </cols>
  <sheetData>
    <row r="1" ht="18.5" customHeight="1">
      <c r="A1" t="s" s="7">
        <v>6</v>
      </c>
      <c r="B1" s="8"/>
      <c r="C1" s="9"/>
      <c r="D1" s="9"/>
      <c r="E1" s="9"/>
      <c r="F1" s="9"/>
    </row>
    <row r="2" ht="13.55" customHeight="1">
      <c r="A2" s="10"/>
      <c r="B2" s="11"/>
      <c r="C2" s="11"/>
      <c r="D2" s="11"/>
      <c r="E2" s="11"/>
      <c r="F2" s="11"/>
    </row>
    <row r="3" ht="14.6" customHeight="1">
      <c r="A3" t="s" s="12">
        <v>7</v>
      </c>
      <c r="B3" s="13"/>
      <c r="C3" s="13"/>
      <c r="D3" s="13"/>
      <c r="E3" s="13"/>
      <c r="F3" s="13"/>
    </row>
    <row r="4" ht="16.6" customHeight="1">
      <c r="A4" t="s" s="14">
        <v>8</v>
      </c>
      <c r="B4" t="s" s="14">
        <v>9</v>
      </c>
      <c r="C4" t="s" s="14">
        <v>10</v>
      </c>
      <c r="D4" t="s" s="14">
        <v>11</v>
      </c>
      <c r="E4" t="s" s="14">
        <v>12</v>
      </c>
      <c r="F4" t="s" s="14">
        <v>13</v>
      </c>
    </row>
    <row r="5" ht="57.65" customHeight="1">
      <c r="A5" t="s" s="15">
        <v>14</v>
      </c>
      <c r="B5" t="s" s="15">
        <v>15</v>
      </c>
      <c r="C5" t="s" s="16">
        <v>16</v>
      </c>
      <c r="D5" t="s" s="16">
        <v>17</v>
      </c>
      <c r="E5" t="s" s="16">
        <v>18</v>
      </c>
      <c r="F5" t="s" s="16">
        <v>19</v>
      </c>
    </row>
    <row r="6" ht="101.65" customHeight="1">
      <c r="A6" t="s" s="15">
        <v>20</v>
      </c>
      <c r="B6" t="s" s="15">
        <v>21</v>
      </c>
      <c r="C6" t="s" s="16">
        <v>22</v>
      </c>
      <c r="D6" t="s" s="16">
        <v>23</v>
      </c>
      <c r="E6" t="s" s="16">
        <v>24</v>
      </c>
      <c r="F6" t="s" s="16">
        <v>25</v>
      </c>
    </row>
    <row r="7" ht="79.65" customHeight="1">
      <c r="A7" t="s" s="15">
        <v>26</v>
      </c>
      <c r="B7" t="s" s="15">
        <v>27</v>
      </c>
      <c r="C7" t="s" s="16">
        <v>16</v>
      </c>
      <c r="D7" t="s" s="16">
        <v>28</v>
      </c>
      <c r="E7" t="s" s="16">
        <v>29</v>
      </c>
      <c r="F7" t="s" s="16">
        <v>30</v>
      </c>
    </row>
    <row r="8" ht="79.65" customHeight="1">
      <c r="A8" t="s" s="15">
        <v>31</v>
      </c>
      <c r="B8" t="s" s="15">
        <v>32</v>
      </c>
      <c r="C8" t="s" s="16">
        <v>33</v>
      </c>
      <c r="D8" t="s" s="16">
        <v>34</v>
      </c>
      <c r="E8" t="s" s="16">
        <v>35</v>
      </c>
      <c r="F8" t="s" s="16">
        <v>36</v>
      </c>
    </row>
    <row r="9" ht="13.55" customHeight="1">
      <c r="A9" s="17"/>
      <c r="B9" s="17"/>
      <c r="C9" s="17"/>
      <c r="D9" s="17"/>
      <c r="E9" s="17"/>
      <c r="F9" s="17"/>
    </row>
    <row r="10" ht="13.55" customHeight="1">
      <c r="A10" s="11"/>
      <c r="B10" s="11"/>
      <c r="C10" s="11"/>
      <c r="D10" s="11"/>
      <c r="E10" s="11"/>
      <c r="F10" s="11"/>
    </row>
    <row r="11" ht="14.6" customHeight="1">
      <c r="A11" t="s" s="12">
        <v>37</v>
      </c>
      <c r="B11" s="13"/>
      <c r="C11" s="13"/>
      <c r="D11" s="13"/>
      <c r="E11" s="13"/>
      <c r="F11" s="13"/>
    </row>
    <row r="12" ht="16.6" customHeight="1">
      <c r="A12" t="s" s="14">
        <v>38</v>
      </c>
      <c r="B12" t="s" s="14">
        <v>39</v>
      </c>
      <c r="C12" t="s" s="14">
        <v>40</v>
      </c>
      <c r="D12" t="s" s="14">
        <v>41</v>
      </c>
      <c r="E12" t="s" s="14">
        <v>42</v>
      </c>
      <c r="F12" t="s" s="14">
        <v>43</v>
      </c>
    </row>
    <row r="13" ht="35.65" customHeight="1">
      <c r="A13" t="s" s="15">
        <v>44</v>
      </c>
      <c r="B13" t="s" s="15">
        <v>45</v>
      </c>
      <c r="C13" t="s" s="15">
        <v>46</v>
      </c>
      <c r="D13" t="s" s="16">
        <v>47</v>
      </c>
      <c r="E13" t="s" s="16">
        <v>48</v>
      </c>
      <c r="F13" t="s" s="16">
        <v>49</v>
      </c>
    </row>
    <row r="14" ht="24.65" customHeight="1">
      <c r="A14" t="s" s="15">
        <v>44</v>
      </c>
      <c r="B14" t="s" s="15">
        <v>50</v>
      </c>
      <c r="C14" t="s" s="15">
        <v>51</v>
      </c>
      <c r="D14" t="s" s="16">
        <v>52</v>
      </c>
      <c r="E14" t="s" s="16">
        <v>53</v>
      </c>
      <c r="F14" t="s" s="16">
        <v>54</v>
      </c>
    </row>
    <row r="15" ht="35.65" customHeight="1">
      <c r="A15" t="s" s="15">
        <v>44</v>
      </c>
      <c r="B15" t="s" s="15">
        <v>55</v>
      </c>
      <c r="C15" t="s" s="15">
        <v>56</v>
      </c>
      <c r="D15" t="s" s="16">
        <v>57</v>
      </c>
      <c r="E15" t="s" s="16">
        <v>48</v>
      </c>
      <c r="F15" t="s" s="16">
        <v>58</v>
      </c>
    </row>
    <row r="16" ht="46.65" customHeight="1">
      <c r="A16" t="s" s="15">
        <v>59</v>
      </c>
      <c r="B16" t="s" s="15">
        <v>60</v>
      </c>
      <c r="C16" t="s" s="15">
        <v>61</v>
      </c>
      <c r="D16" t="s" s="16">
        <v>62</v>
      </c>
      <c r="E16" t="s" s="16">
        <v>48</v>
      </c>
      <c r="F16" t="s" s="16">
        <v>63</v>
      </c>
    </row>
    <row r="17" ht="35.65" customHeight="1">
      <c r="A17" t="s" s="15">
        <v>59</v>
      </c>
      <c r="B17" t="s" s="15">
        <v>64</v>
      </c>
      <c r="C17" t="s" s="15">
        <v>65</v>
      </c>
      <c r="D17" t="s" s="16">
        <v>66</v>
      </c>
      <c r="E17" t="s" s="16">
        <v>48</v>
      </c>
      <c r="F17" t="s" s="16">
        <v>67</v>
      </c>
    </row>
    <row r="18" ht="46.65" customHeight="1">
      <c r="A18" t="s" s="15">
        <v>59</v>
      </c>
      <c r="B18" t="s" s="15">
        <v>68</v>
      </c>
      <c r="C18" t="s" s="15">
        <v>69</v>
      </c>
      <c r="D18" t="s" s="16">
        <v>70</v>
      </c>
      <c r="E18" t="s" s="16">
        <v>53</v>
      </c>
      <c r="F18" t="s" s="16">
        <v>71</v>
      </c>
    </row>
    <row r="19" ht="35.65" customHeight="1">
      <c r="A19" t="s" s="15">
        <v>72</v>
      </c>
      <c r="B19" t="s" s="15">
        <v>73</v>
      </c>
      <c r="C19" t="s" s="15">
        <v>74</v>
      </c>
      <c r="D19" t="s" s="16">
        <v>75</v>
      </c>
      <c r="E19" t="s" s="16">
        <v>53</v>
      </c>
      <c r="F19" t="s" s="16">
        <v>76</v>
      </c>
    </row>
    <row r="20" ht="35.65" customHeight="1">
      <c r="A20" t="s" s="15">
        <v>77</v>
      </c>
      <c r="B20" t="s" s="15">
        <v>78</v>
      </c>
      <c r="C20" t="s" s="15">
        <v>79</v>
      </c>
      <c r="D20" t="s" s="16">
        <v>80</v>
      </c>
      <c r="E20" t="s" s="16">
        <v>53</v>
      </c>
      <c r="F20" t="s" s="16">
        <v>81</v>
      </c>
    </row>
    <row r="21" ht="35.65" customHeight="1">
      <c r="A21" t="s" s="15">
        <v>77</v>
      </c>
      <c r="B21" t="s" s="15">
        <v>82</v>
      </c>
      <c r="C21" t="s" s="15">
        <v>83</v>
      </c>
      <c r="D21" t="s" s="16">
        <v>84</v>
      </c>
      <c r="E21" t="s" s="16">
        <v>53</v>
      </c>
      <c r="F21" t="s" s="16">
        <v>85</v>
      </c>
    </row>
    <row r="22" ht="35.65" customHeight="1">
      <c r="A22" t="s" s="15">
        <v>86</v>
      </c>
      <c r="B22" t="s" s="15">
        <v>87</v>
      </c>
      <c r="C22" t="s" s="15">
        <v>88</v>
      </c>
      <c r="D22" t="s" s="16">
        <v>89</v>
      </c>
      <c r="E22" t="s" s="16">
        <v>53</v>
      </c>
      <c r="F22" t="s" s="16">
        <v>90</v>
      </c>
    </row>
    <row r="23" ht="35.65" customHeight="1">
      <c r="A23" t="s" s="15">
        <v>86</v>
      </c>
      <c r="B23" t="s" s="15">
        <v>91</v>
      </c>
      <c r="C23" t="s" s="15">
        <v>92</v>
      </c>
      <c r="D23" t="s" s="16">
        <v>93</v>
      </c>
      <c r="E23" t="s" s="16">
        <v>53</v>
      </c>
      <c r="F23" t="s" s="16">
        <v>94</v>
      </c>
    </row>
    <row r="24" ht="35.65" customHeight="1">
      <c r="A24" t="s" s="15">
        <v>95</v>
      </c>
      <c r="B24" t="s" s="15">
        <v>96</v>
      </c>
      <c r="C24" t="s" s="15">
        <v>97</v>
      </c>
      <c r="D24" t="s" s="16">
        <v>98</v>
      </c>
      <c r="E24" t="s" s="16">
        <v>99</v>
      </c>
      <c r="F24" t="s" s="16">
        <v>100</v>
      </c>
    </row>
    <row r="25" ht="46.65" customHeight="1">
      <c r="A25" t="s" s="15">
        <v>95</v>
      </c>
      <c r="B25" t="s" s="15">
        <v>101</v>
      </c>
      <c r="C25" t="s" s="15">
        <v>102</v>
      </c>
      <c r="D25" t="s" s="16">
        <v>103</v>
      </c>
      <c r="E25" t="s" s="16">
        <v>99</v>
      </c>
      <c r="F25" t="s" s="16">
        <v>104</v>
      </c>
    </row>
    <row r="26" ht="46.65" customHeight="1">
      <c r="A26" t="s" s="15">
        <v>105</v>
      </c>
      <c r="B26" t="s" s="15">
        <v>106</v>
      </c>
      <c r="C26" t="s" s="15">
        <v>107</v>
      </c>
      <c r="D26" t="s" s="16">
        <v>108</v>
      </c>
      <c r="E26" t="s" s="16">
        <v>109</v>
      </c>
      <c r="F26" t="s" s="16">
        <v>110</v>
      </c>
    </row>
    <row r="27" ht="35.65" customHeight="1">
      <c r="A27" t="s" s="15">
        <v>105</v>
      </c>
      <c r="B27" t="s" s="15">
        <v>111</v>
      </c>
      <c r="C27" t="s" s="15">
        <v>112</v>
      </c>
      <c r="D27" t="s" s="16">
        <v>113</v>
      </c>
      <c r="E27" t="s" s="16">
        <v>48</v>
      </c>
      <c r="F27" t="s" s="16">
        <v>114</v>
      </c>
    </row>
    <row r="28" ht="46.65" customHeight="1">
      <c r="A28" t="s" s="15">
        <v>105</v>
      </c>
      <c r="B28" t="s" s="15">
        <v>115</v>
      </c>
      <c r="C28" t="s" s="15">
        <v>116</v>
      </c>
      <c r="D28" t="s" s="16">
        <v>117</v>
      </c>
      <c r="E28" t="s" s="16">
        <v>53</v>
      </c>
      <c r="F28" t="s" s="16">
        <v>118</v>
      </c>
    </row>
    <row r="29" ht="13.55" customHeight="1">
      <c r="A29" s="17"/>
      <c r="B29" s="17"/>
      <c r="C29" s="17"/>
      <c r="D29" s="17"/>
      <c r="E29" s="17"/>
      <c r="F29" s="17"/>
    </row>
    <row r="30" ht="13.55" customHeight="1">
      <c r="A30" s="11"/>
      <c r="B30" s="11"/>
      <c r="C30" s="11"/>
      <c r="D30" s="11"/>
      <c r="E30" s="11"/>
      <c r="F30" s="11"/>
    </row>
    <row r="31" ht="14.6" customHeight="1">
      <c r="A31" t="s" s="12">
        <v>119</v>
      </c>
      <c r="B31" s="13"/>
      <c r="C31" s="13"/>
      <c r="D31" s="13"/>
      <c r="E31" s="13"/>
      <c r="F31" s="13"/>
    </row>
    <row r="32" ht="13.65" customHeight="1">
      <c r="A32" t="s" s="18">
        <v>120</v>
      </c>
      <c r="B32" t="s" s="16">
        <v>121</v>
      </c>
      <c r="C32" s="19"/>
      <c r="D32" s="20"/>
      <c r="E32" s="20"/>
      <c r="F32" s="21"/>
    </row>
    <row r="33" ht="13.65" customHeight="1">
      <c r="A33" t="s" s="18">
        <v>122</v>
      </c>
      <c r="B33" t="s" s="16">
        <v>123</v>
      </c>
      <c r="C33" s="19"/>
      <c r="D33" s="20"/>
      <c r="E33" s="20"/>
      <c r="F33" s="21"/>
    </row>
    <row r="34" ht="24.65" customHeight="1">
      <c r="A34" t="s" s="18">
        <v>124</v>
      </c>
      <c r="B34" t="s" s="16">
        <v>125</v>
      </c>
      <c r="C34" s="19"/>
      <c r="D34" s="20"/>
      <c r="E34" s="20"/>
      <c r="F34" s="21"/>
    </row>
    <row r="35" ht="35.65" customHeight="1">
      <c r="A35" t="s" s="18">
        <v>126</v>
      </c>
      <c r="B35" t="s" s="16">
        <v>127</v>
      </c>
      <c r="C35" s="19"/>
      <c r="D35" s="20"/>
      <c r="E35" s="20"/>
      <c r="F35" s="21"/>
    </row>
  </sheetData>
  <mergeCells count="5">
    <mergeCell ref="B34:F34"/>
    <mergeCell ref="B33:F33"/>
    <mergeCell ref="A1:F1"/>
    <mergeCell ref="B32:F32"/>
    <mergeCell ref="B35:F35"/>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N21"/>
  <sheetViews>
    <sheetView workbookViewId="0" showGridLines="0" defaultGridColor="1"/>
  </sheetViews>
  <sheetFormatPr defaultColWidth="8.83333" defaultRowHeight="15" customHeight="1" outlineLevelRow="0" outlineLevelCol="0"/>
  <cols>
    <col min="1" max="1" width="12" style="22" customWidth="1"/>
    <col min="2" max="2" width="18" style="22" customWidth="1"/>
    <col min="3" max="3" width="16" style="22" customWidth="1"/>
    <col min="4" max="4" width="55" style="22" customWidth="1"/>
    <col min="5" max="5" width="20" style="22" customWidth="1"/>
    <col min="6" max="9" width="13" style="22" customWidth="1"/>
    <col min="10" max="10" width="50" style="22" customWidth="1"/>
    <col min="11" max="11" width="14" style="22" customWidth="1"/>
    <col min="12" max="14" width="13" style="22" customWidth="1"/>
    <col min="15" max="16384" width="8.85156" style="22" customWidth="1"/>
  </cols>
  <sheetData>
    <row r="1" ht="18.5" customHeight="1">
      <c r="A1" t="s" s="23">
        <v>129</v>
      </c>
      <c r="B1" s="8"/>
      <c r="C1" s="9"/>
      <c r="D1" s="9"/>
      <c r="E1" s="9"/>
      <c r="F1" s="9"/>
      <c r="G1" s="9"/>
      <c r="H1" s="9"/>
      <c r="I1" s="9"/>
      <c r="J1" s="9"/>
      <c r="K1" s="9"/>
      <c r="L1" s="9"/>
      <c r="M1" s="9"/>
      <c r="N1" s="9"/>
    </row>
    <row r="2" ht="13.55" customHeight="1">
      <c r="A2" s="10"/>
      <c r="B2" s="11"/>
      <c r="C2" s="11"/>
      <c r="D2" s="11"/>
      <c r="E2" s="11"/>
      <c r="F2" s="11"/>
      <c r="G2" s="11"/>
      <c r="H2" s="11"/>
      <c r="I2" s="11"/>
      <c r="J2" s="11"/>
      <c r="K2" s="11"/>
      <c r="L2" s="11"/>
      <c r="M2" s="11"/>
      <c r="N2" s="11"/>
    </row>
    <row r="3" ht="44.6" customHeight="1">
      <c r="A3" t="s" s="24">
        <v>130</v>
      </c>
      <c r="B3" t="s" s="24">
        <v>131</v>
      </c>
      <c r="C3" t="s" s="24">
        <v>132</v>
      </c>
      <c r="D3" t="s" s="24">
        <v>133</v>
      </c>
      <c r="E3" t="s" s="24">
        <v>134</v>
      </c>
      <c r="F3" t="s" s="24">
        <v>135</v>
      </c>
      <c r="G3" t="s" s="24">
        <v>136</v>
      </c>
      <c r="H3" t="s" s="24">
        <v>137</v>
      </c>
      <c r="I3" t="s" s="24">
        <v>138</v>
      </c>
      <c r="J3" t="s" s="24">
        <v>139</v>
      </c>
      <c r="K3" t="s" s="24">
        <v>140</v>
      </c>
      <c r="L3" t="s" s="24">
        <v>141</v>
      </c>
      <c r="M3" t="s" s="24">
        <v>142</v>
      </c>
      <c r="N3" t="s" s="24">
        <v>143</v>
      </c>
    </row>
    <row r="4" ht="35.65" customHeight="1">
      <c r="A4" t="s" s="15">
        <v>144</v>
      </c>
      <c r="B4" t="s" s="15">
        <v>145</v>
      </c>
      <c r="C4" t="s" s="15">
        <v>146</v>
      </c>
      <c r="D4" t="s" s="15">
        <v>147</v>
      </c>
      <c r="E4" t="s" s="15">
        <v>148</v>
      </c>
      <c r="F4" s="25">
        <v>4</v>
      </c>
      <c r="G4" s="25">
        <v>5</v>
      </c>
      <c r="H4" s="25">
        <v>20</v>
      </c>
      <c r="I4" t="s" s="16">
        <v>109</v>
      </c>
      <c r="J4" t="s" s="16">
        <v>149</v>
      </c>
      <c r="K4" t="s" s="16">
        <v>150</v>
      </c>
      <c r="L4" s="26">
        <v>2</v>
      </c>
      <c r="M4" s="26">
        <v>5</v>
      </c>
      <c r="N4" s="27">
        <f>IF(AND(L4&lt;&gt;"",M4&lt;&gt;""),L4*M4,"")</f>
        <v>10</v>
      </c>
    </row>
    <row r="5" ht="35.65" customHeight="1">
      <c r="A5" t="s" s="15">
        <v>151</v>
      </c>
      <c r="B5" t="s" s="15">
        <v>152</v>
      </c>
      <c r="C5" t="s" s="15">
        <v>153</v>
      </c>
      <c r="D5" t="s" s="15">
        <v>154</v>
      </c>
      <c r="E5" t="s" s="15">
        <v>155</v>
      </c>
      <c r="F5" s="25">
        <v>4</v>
      </c>
      <c r="G5" s="25">
        <v>4</v>
      </c>
      <c r="H5" s="25">
        <v>16</v>
      </c>
      <c r="I5" t="s" s="16">
        <v>48</v>
      </c>
      <c r="J5" t="s" s="16">
        <v>156</v>
      </c>
      <c r="K5" t="s" s="16">
        <v>157</v>
      </c>
      <c r="L5" s="26">
        <v>2</v>
      </c>
      <c r="M5" s="26">
        <v>4</v>
      </c>
      <c r="N5" s="27">
        <f>IF(AND(L5&lt;&gt;"",M5&lt;&gt;""),L5*M5,"")</f>
        <v>8</v>
      </c>
    </row>
    <row r="6" ht="35.65" customHeight="1">
      <c r="A6" t="s" s="15">
        <v>158</v>
      </c>
      <c r="B6" t="s" s="15">
        <v>159</v>
      </c>
      <c r="C6" t="s" s="15">
        <v>160</v>
      </c>
      <c r="D6" t="s" s="15">
        <v>161</v>
      </c>
      <c r="E6" t="s" s="15">
        <v>162</v>
      </c>
      <c r="F6" s="25">
        <v>3</v>
      </c>
      <c r="G6" s="25">
        <v>5</v>
      </c>
      <c r="H6" s="25">
        <v>15</v>
      </c>
      <c r="I6" t="s" s="16">
        <v>48</v>
      </c>
      <c r="J6" t="s" s="16">
        <v>163</v>
      </c>
      <c r="K6" t="s" s="16">
        <v>150</v>
      </c>
      <c r="L6" s="26">
        <v>1</v>
      </c>
      <c r="M6" s="26">
        <v>5</v>
      </c>
      <c r="N6" s="27">
        <f>IF(AND(L6&lt;&gt;"",M6&lt;&gt;""),L6*M6,"")</f>
        <v>5</v>
      </c>
    </row>
    <row r="7" ht="35.65" customHeight="1">
      <c r="A7" t="s" s="15">
        <v>164</v>
      </c>
      <c r="B7" t="s" s="15">
        <v>165</v>
      </c>
      <c r="C7" t="s" s="15">
        <v>166</v>
      </c>
      <c r="D7" t="s" s="15">
        <v>167</v>
      </c>
      <c r="E7" t="s" s="15">
        <v>168</v>
      </c>
      <c r="F7" s="25">
        <v>3</v>
      </c>
      <c r="G7" s="25">
        <v>5</v>
      </c>
      <c r="H7" s="25">
        <v>15</v>
      </c>
      <c r="I7" t="s" s="16">
        <v>48</v>
      </c>
      <c r="J7" t="s" s="16">
        <v>169</v>
      </c>
      <c r="K7" t="s" s="16">
        <v>150</v>
      </c>
      <c r="L7" s="26">
        <v>2</v>
      </c>
      <c r="M7" s="26">
        <v>5</v>
      </c>
      <c r="N7" s="27">
        <f>IF(AND(L7&lt;&gt;"",M7&lt;&gt;""),L7*M7,"")</f>
        <v>10</v>
      </c>
    </row>
    <row r="8" ht="35.65" customHeight="1">
      <c r="A8" t="s" s="15">
        <v>170</v>
      </c>
      <c r="B8" t="s" s="15">
        <v>171</v>
      </c>
      <c r="C8" t="s" s="15">
        <v>166</v>
      </c>
      <c r="D8" t="s" s="15">
        <v>172</v>
      </c>
      <c r="E8" t="s" s="15">
        <v>148</v>
      </c>
      <c r="F8" s="25">
        <v>3</v>
      </c>
      <c r="G8" s="25">
        <v>4</v>
      </c>
      <c r="H8" s="25">
        <v>12</v>
      </c>
      <c r="I8" t="s" s="16">
        <v>53</v>
      </c>
      <c r="J8" t="s" s="16">
        <v>173</v>
      </c>
      <c r="K8" t="s" s="16">
        <v>157</v>
      </c>
      <c r="L8" s="26">
        <v>2</v>
      </c>
      <c r="M8" s="26">
        <v>4</v>
      </c>
      <c r="N8" s="27">
        <f>IF(AND(L8&lt;&gt;"",M8&lt;&gt;""),L8*M8,"")</f>
        <v>8</v>
      </c>
    </row>
    <row r="9" ht="35.65" customHeight="1">
      <c r="A9" t="s" s="15">
        <v>174</v>
      </c>
      <c r="B9" t="s" s="15">
        <v>145</v>
      </c>
      <c r="C9" t="s" s="15">
        <v>146</v>
      </c>
      <c r="D9" t="s" s="15">
        <v>175</v>
      </c>
      <c r="E9" t="s" s="15">
        <v>148</v>
      </c>
      <c r="F9" s="25">
        <v>3</v>
      </c>
      <c r="G9" s="25">
        <v>4</v>
      </c>
      <c r="H9" s="25">
        <v>12</v>
      </c>
      <c r="I9" t="s" s="16">
        <v>53</v>
      </c>
      <c r="J9" t="s" s="16">
        <v>176</v>
      </c>
      <c r="K9" t="s" s="16">
        <v>157</v>
      </c>
      <c r="L9" s="26">
        <v>2</v>
      </c>
      <c r="M9" s="26">
        <v>3</v>
      </c>
      <c r="N9" s="27">
        <f>IF(AND(L9&lt;&gt;"",M9&lt;&gt;""),L9*M9,"")</f>
        <v>6</v>
      </c>
    </row>
    <row r="10" ht="35.65" customHeight="1">
      <c r="A10" t="s" s="15">
        <v>177</v>
      </c>
      <c r="B10" t="s" s="15">
        <v>178</v>
      </c>
      <c r="C10" t="s" s="15">
        <v>153</v>
      </c>
      <c r="D10" t="s" s="15">
        <v>179</v>
      </c>
      <c r="E10" t="s" s="15">
        <v>155</v>
      </c>
      <c r="F10" s="25">
        <v>3</v>
      </c>
      <c r="G10" s="25">
        <v>5</v>
      </c>
      <c r="H10" s="25">
        <v>15</v>
      </c>
      <c r="I10" t="s" s="16">
        <v>48</v>
      </c>
      <c r="J10" t="s" s="16">
        <v>180</v>
      </c>
      <c r="K10" t="s" s="16">
        <v>150</v>
      </c>
      <c r="L10" s="26">
        <v>2</v>
      </c>
      <c r="M10" s="26">
        <v>4</v>
      </c>
      <c r="N10" s="27">
        <f>IF(AND(L10&lt;&gt;"",M10&lt;&gt;""),L10*M10,"")</f>
        <v>8</v>
      </c>
    </row>
    <row r="11" ht="35.65" customHeight="1">
      <c r="A11" t="s" s="15">
        <v>181</v>
      </c>
      <c r="B11" t="s" s="15">
        <v>159</v>
      </c>
      <c r="C11" t="s" s="15">
        <v>160</v>
      </c>
      <c r="D11" t="s" s="15">
        <v>182</v>
      </c>
      <c r="E11" t="s" s="15">
        <v>168</v>
      </c>
      <c r="F11" s="25">
        <v>3</v>
      </c>
      <c r="G11" s="25">
        <v>5</v>
      </c>
      <c r="H11" s="25">
        <v>15</v>
      </c>
      <c r="I11" t="s" s="16">
        <v>48</v>
      </c>
      <c r="J11" t="s" s="16">
        <v>183</v>
      </c>
      <c r="K11" t="s" s="16">
        <v>150</v>
      </c>
      <c r="L11" s="26">
        <v>2</v>
      </c>
      <c r="M11" s="26">
        <v>4</v>
      </c>
      <c r="N11" s="27">
        <f>IF(AND(L11&lt;&gt;"",M11&lt;&gt;""),L11*M11,"")</f>
        <v>8</v>
      </c>
    </row>
    <row r="12" ht="13.55" customHeight="1">
      <c r="A12" s="20"/>
      <c r="B12" s="20"/>
      <c r="C12" s="20"/>
      <c r="D12" s="20"/>
      <c r="E12" s="20"/>
      <c r="F12" s="20"/>
      <c r="G12" s="20"/>
      <c r="H12" s="20"/>
      <c r="I12" s="20"/>
      <c r="J12" s="20"/>
      <c r="K12" s="20"/>
      <c r="L12" s="20"/>
      <c r="M12" s="20"/>
      <c r="N12" s="20"/>
    </row>
    <row r="13" ht="14.6" customHeight="1">
      <c r="A13" t="s" s="12">
        <v>184</v>
      </c>
      <c r="B13" s="13"/>
      <c r="C13" s="13"/>
      <c r="D13" s="13"/>
      <c r="E13" s="13"/>
      <c r="F13" s="13"/>
      <c r="G13" s="13"/>
      <c r="H13" s="13"/>
      <c r="I13" s="13"/>
      <c r="J13" s="13"/>
      <c r="K13" s="13"/>
      <c r="L13" s="13"/>
      <c r="M13" s="13"/>
      <c r="N13" s="13"/>
    </row>
    <row r="14" ht="13.65" customHeight="1">
      <c r="A14" t="s" s="18">
        <v>185</v>
      </c>
      <c r="B14" s="28">
        <v>8</v>
      </c>
      <c r="C14" s="29"/>
      <c r="D14" t="s" s="18">
        <v>186</v>
      </c>
      <c r="E14" s="30">
        <v>15</v>
      </c>
      <c r="F14" s="31"/>
      <c r="G14" s="17"/>
      <c r="H14" s="17"/>
      <c r="I14" s="17"/>
      <c r="J14" s="17"/>
      <c r="K14" s="17"/>
      <c r="L14" s="17"/>
      <c r="M14" s="17"/>
      <c r="N14" s="17"/>
    </row>
    <row r="15" ht="24.65" customHeight="1">
      <c r="A15" t="s" s="18">
        <v>187</v>
      </c>
      <c r="B15" s="28">
        <v>1</v>
      </c>
      <c r="C15" s="32"/>
      <c r="D15" t="s" s="18">
        <v>188</v>
      </c>
      <c r="E15" s="28">
        <v>20</v>
      </c>
      <c r="F15" s="33"/>
      <c r="G15" s="9"/>
      <c r="H15" s="9"/>
      <c r="I15" s="9"/>
      <c r="J15" s="9"/>
      <c r="K15" s="9"/>
      <c r="L15" s="9"/>
      <c r="M15" s="9"/>
      <c r="N15" s="9"/>
    </row>
    <row r="16" ht="13.65" customHeight="1">
      <c r="A16" t="s" s="18">
        <v>189</v>
      </c>
      <c r="B16" s="28">
        <v>5</v>
      </c>
      <c r="C16" s="33"/>
      <c r="D16" s="17"/>
      <c r="E16" s="17"/>
      <c r="F16" s="9"/>
      <c r="G16" s="9"/>
      <c r="H16" s="9"/>
      <c r="I16" s="9"/>
      <c r="J16" s="9"/>
      <c r="K16" s="9"/>
      <c r="L16" s="9"/>
      <c r="M16" s="9"/>
      <c r="N16" s="9"/>
    </row>
    <row r="17" ht="13.55" customHeight="1">
      <c r="A17" s="20"/>
      <c r="B17" s="20"/>
      <c r="C17" s="11"/>
      <c r="D17" s="11"/>
      <c r="E17" s="11"/>
      <c r="F17" s="11"/>
      <c r="G17" s="11"/>
      <c r="H17" s="11"/>
      <c r="I17" s="11"/>
      <c r="J17" s="11"/>
      <c r="K17" s="11"/>
      <c r="L17" s="11"/>
      <c r="M17" s="11"/>
      <c r="N17" s="11"/>
    </row>
    <row r="18" ht="14.6" customHeight="1">
      <c r="A18" t="s" s="12">
        <v>190</v>
      </c>
      <c r="B18" s="13"/>
      <c r="C18" s="13"/>
      <c r="D18" s="13"/>
      <c r="E18" s="13"/>
      <c r="F18" s="13"/>
      <c r="G18" s="13"/>
      <c r="H18" s="13"/>
      <c r="I18" s="13"/>
      <c r="J18" s="13"/>
      <c r="K18" s="13"/>
      <c r="L18" s="13"/>
      <c r="M18" s="13"/>
      <c r="N18" s="13"/>
    </row>
    <row r="19" ht="24.65" customHeight="1">
      <c r="A19" t="s" s="15">
        <v>191</v>
      </c>
      <c r="B19" t="s" s="15">
        <v>192</v>
      </c>
      <c r="C19" t="s" s="15">
        <v>193</v>
      </c>
      <c r="D19" t="s" s="15">
        <v>194</v>
      </c>
      <c r="E19" t="s" s="15">
        <v>195</v>
      </c>
      <c r="F19" t="s" s="15">
        <v>196</v>
      </c>
      <c r="G19" s="31"/>
      <c r="H19" s="17"/>
      <c r="I19" s="17"/>
      <c r="J19" s="17"/>
      <c r="K19" s="17"/>
      <c r="L19" s="17"/>
      <c r="M19" s="17"/>
      <c r="N19" s="17"/>
    </row>
    <row r="20" ht="24.65" customHeight="1">
      <c r="A20" t="s" s="15">
        <v>197</v>
      </c>
      <c r="B20" t="s" s="15">
        <v>198</v>
      </c>
      <c r="C20" t="s" s="15">
        <v>199</v>
      </c>
      <c r="D20" t="s" s="15">
        <v>200</v>
      </c>
      <c r="E20" t="s" s="15">
        <v>201</v>
      </c>
      <c r="F20" t="s" s="15">
        <v>202</v>
      </c>
      <c r="G20" s="33"/>
      <c r="H20" s="9"/>
      <c r="I20" s="9"/>
      <c r="J20" s="9"/>
      <c r="K20" s="9"/>
      <c r="L20" s="9"/>
      <c r="M20" s="9"/>
      <c r="N20" s="9"/>
    </row>
    <row r="21" ht="13.65" customHeight="1">
      <c r="A21" t="s" s="15">
        <v>138</v>
      </c>
      <c r="B21" t="s" s="15">
        <v>203</v>
      </c>
      <c r="C21" t="s" s="15">
        <v>204</v>
      </c>
      <c r="D21" t="s" s="15">
        <v>205</v>
      </c>
      <c r="E21" t="s" s="15">
        <v>206</v>
      </c>
      <c r="F21" t="s" s="15">
        <v>207</v>
      </c>
      <c r="G21" s="33"/>
      <c r="H21" s="9"/>
      <c r="I21" s="9"/>
      <c r="J21" s="9"/>
      <c r="K21" s="9"/>
      <c r="L21" s="9"/>
      <c r="M21" s="9"/>
      <c r="N21" s="9"/>
    </row>
  </sheetData>
  <mergeCells count="1">
    <mergeCell ref="A1:N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28"/>
  <sheetViews>
    <sheetView workbookViewId="0" showGridLines="0" defaultGridColor="1"/>
  </sheetViews>
  <sheetFormatPr defaultColWidth="8.83333" defaultRowHeight="15" customHeight="1" outlineLevelRow="0" outlineLevelCol="0"/>
  <cols>
    <col min="1" max="1" width="35" style="34" customWidth="1"/>
    <col min="2" max="6" width="20" style="34" customWidth="1"/>
    <col min="7" max="7" width="35" style="34" customWidth="1"/>
    <col min="8" max="16384" width="8.85156" style="34" customWidth="1"/>
  </cols>
  <sheetData>
    <row r="1" ht="18.5" customHeight="1">
      <c r="A1" t="s" s="35">
        <v>209</v>
      </c>
      <c r="B1" s="8"/>
      <c r="C1" s="9"/>
      <c r="D1" s="9"/>
      <c r="E1" s="9"/>
      <c r="F1" s="9"/>
      <c r="G1" s="9"/>
    </row>
    <row r="2" ht="13.55" customHeight="1">
      <c r="A2" s="10"/>
      <c r="B2" s="11"/>
      <c r="C2" s="11"/>
      <c r="D2" s="11"/>
      <c r="E2" s="11"/>
      <c r="F2" s="11"/>
      <c r="G2" s="11"/>
    </row>
    <row r="3" ht="14.6" customHeight="1">
      <c r="A3" t="s" s="12">
        <v>210</v>
      </c>
      <c r="B3" s="13"/>
      <c r="C3" s="13"/>
      <c r="D3" s="13"/>
      <c r="E3" s="13"/>
      <c r="F3" s="13"/>
      <c r="G3" s="13"/>
    </row>
    <row r="4" ht="13.65" customHeight="1">
      <c r="A4" t="s" s="18">
        <v>211</v>
      </c>
      <c r="B4" t="s" s="15">
        <v>212</v>
      </c>
      <c r="C4" s="31"/>
      <c r="D4" s="17"/>
      <c r="E4" s="17"/>
      <c r="F4" s="17"/>
      <c r="G4" s="17"/>
    </row>
    <row r="5" ht="13.65" customHeight="1">
      <c r="A5" t="s" s="18">
        <v>213</v>
      </c>
      <c r="B5" t="s" s="15">
        <v>214</v>
      </c>
      <c r="C5" s="33"/>
      <c r="D5" s="9"/>
      <c r="E5" s="9"/>
      <c r="F5" s="9"/>
      <c r="G5" s="9"/>
    </row>
    <row r="6" ht="13.65" customHeight="1">
      <c r="A6" t="s" s="18">
        <v>215</v>
      </c>
      <c r="B6" t="s" s="15">
        <v>216</v>
      </c>
      <c r="C6" s="33"/>
      <c r="D6" s="9"/>
      <c r="E6" s="9"/>
      <c r="F6" s="9"/>
      <c r="G6" s="9"/>
    </row>
    <row r="7" ht="13.65" customHeight="1">
      <c r="A7" t="s" s="18">
        <v>217</v>
      </c>
      <c r="B7" t="s" s="15">
        <v>218</v>
      </c>
      <c r="C7" s="33"/>
      <c r="D7" s="9"/>
      <c r="E7" s="9"/>
      <c r="F7" s="9"/>
      <c r="G7" s="9"/>
    </row>
    <row r="8" ht="13.65" customHeight="1">
      <c r="A8" t="s" s="18">
        <v>219</v>
      </c>
      <c r="B8" t="s" s="15">
        <v>220</v>
      </c>
      <c r="C8" s="33"/>
      <c r="D8" s="9"/>
      <c r="E8" s="9"/>
      <c r="F8" s="9"/>
      <c r="G8" s="9"/>
    </row>
    <row r="9" ht="24.65" customHeight="1">
      <c r="A9" t="s" s="18">
        <v>221</v>
      </c>
      <c r="B9" t="s" s="15">
        <v>222</v>
      </c>
      <c r="C9" s="33"/>
      <c r="D9" s="9"/>
      <c r="E9" s="9"/>
      <c r="F9" s="9"/>
      <c r="G9" s="9"/>
    </row>
    <row r="10" ht="13.65" customHeight="1">
      <c r="A10" t="s" s="18">
        <v>223</v>
      </c>
      <c r="B10" t="s" s="15">
        <v>224</v>
      </c>
      <c r="C10" s="33"/>
      <c r="D10" s="9"/>
      <c r="E10" s="9"/>
      <c r="F10" s="9"/>
      <c r="G10" s="9"/>
    </row>
    <row r="11" ht="13.65" customHeight="1">
      <c r="A11" t="s" s="18">
        <v>225</v>
      </c>
      <c r="B11" t="s" s="15">
        <v>226</v>
      </c>
      <c r="C11" s="33"/>
      <c r="D11" s="9"/>
      <c r="E11" s="9"/>
      <c r="F11" s="9"/>
      <c r="G11" s="9"/>
    </row>
    <row r="12" ht="13.55" customHeight="1">
      <c r="A12" s="20"/>
      <c r="B12" s="20"/>
      <c r="C12" s="11"/>
      <c r="D12" s="11"/>
      <c r="E12" s="11"/>
      <c r="F12" s="11"/>
      <c r="G12" s="11"/>
    </row>
    <row r="13" ht="14.6" customHeight="1">
      <c r="A13" t="s" s="12">
        <v>227</v>
      </c>
      <c r="B13" s="13"/>
      <c r="C13" s="13"/>
      <c r="D13" s="13"/>
      <c r="E13" s="13"/>
      <c r="F13" s="13"/>
      <c r="G13" s="13"/>
    </row>
    <row r="14" ht="30.6" customHeight="1">
      <c r="A14" t="s" s="36">
        <v>228</v>
      </c>
      <c r="B14" t="s" s="36">
        <v>229</v>
      </c>
      <c r="C14" t="s" s="36">
        <v>230</v>
      </c>
      <c r="D14" t="s" s="36">
        <v>231</v>
      </c>
      <c r="E14" t="s" s="36">
        <v>232</v>
      </c>
      <c r="F14" t="s" s="36">
        <v>233</v>
      </c>
      <c r="G14" t="s" s="36">
        <v>234</v>
      </c>
    </row>
    <row r="15" ht="46.65" customHeight="1">
      <c r="A15" t="s" s="15">
        <v>235</v>
      </c>
      <c r="B15" s="25">
        <v>5</v>
      </c>
      <c r="C15" s="26">
        <v>15</v>
      </c>
      <c r="D15" s="25">
        <v>25</v>
      </c>
      <c r="E15" s="37">
        <f>IF(C15&lt;&gt;"",C15/D15*100,"")</f>
        <v>60</v>
      </c>
      <c r="F15" t="s" s="16">
        <v>53</v>
      </c>
      <c r="G15" t="s" s="16">
        <v>236</v>
      </c>
    </row>
    <row r="16" ht="35.65" customHeight="1">
      <c r="A16" t="s" s="15">
        <v>237</v>
      </c>
      <c r="B16" s="25">
        <v>6</v>
      </c>
      <c r="C16" s="26">
        <v>25</v>
      </c>
      <c r="D16" s="25">
        <v>30</v>
      </c>
      <c r="E16" s="37">
        <f>IF(C16&lt;&gt;"",C16/D16*100,"")</f>
        <v>83.3333333333333</v>
      </c>
      <c r="F16" t="s" s="16">
        <v>99</v>
      </c>
      <c r="G16" t="s" s="16">
        <v>238</v>
      </c>
    </row>
    <row r="17" ht="46.65" customHeight="1">
      <c r="A17" t="s" s="15">
        <v>239</v>
      </c>
      <c r="B17" s="25">
        <v>5</v>
      </c>
      <c r="C17" s="26">
        <v>15</v>
      </c>
      <c r="D17" s="25">
        <v>25</v>
      </c>
      <c r="E17" s="37">
        <f>IF(C17&lt;&gt;"",C17/D17*100,"")</f>
        <v>60</v>
      </c>
      <c r="F17" t="s" s="16">
        <v>53</v>
      </c>
      <c r="G17" t="s" s="16">
        <v>240</v>
      </c>
    </row>
    <row r="18" ht="46.65" customHeight="1">
      <c r="A18" t="s" s="15">
        <v>241</v>
      </c>
      <c r="B18" s="25">
        <v>6</v>
      </c>
      <c r="C18" s="26">
        <v>18</v>
      </c>
      <c r="D18" s="25">
        <v>30</v>
      </c>
      <c r="E18" s="37">
        <f>IF(C18&lt;&gt;"",C18/D18*100,"")</f>
        <v>60</v>
      </c>
      <c r="F18" t="s" s="16">
        <v>53</v>
      </c>
      <c r="G18" t="s" s="16">
        <v>242</v>
      </c>
    </row>
    <row r="19" ht="46.65" customHeight="1">
      <c r="A19" t="s" s="15">
        <v>243</v>
      </c>
      <c r="B19" s="25">
        <v>5</v>
      </c>
      <c r="C19" s="26">
        <v>15</v>
      </c>
      <c r="D19" s="25">
        <v>25</v>
      </c>
      <c r="E19" s="37">
        <f>IF(C19&lt;&gt;"",C19/D19*100,"")</f>
        <v>60</v>
      </c>
      <c r="F19" t="s" s="16">
        <v>53</v>
      </c>
      <c r="G19" t="s" s="16">
        <v>244</v>
      </c>
    </row>
    <row r="20" ht="46.65" customHeight="1">
      <c r="A20" t="s" s="18">
        <v>245</v>
      </c>
      <c r="B20" s="25">
        <v>27</v>
      </c>
      <c r="C20" s="28">
        <f>SUM(C15:C19)</f>
        <v>88</v>
      </c>
      <c r="D20" s="25">
        <v>135</v>
      </c>
      <c r="E20" s="30">
        <f>IF(C20&lt;&gt;"",C20/D20*100,"")</f>
        <v>65.1851851851852</v>
      </c>
      <c r="F20" t="s" s="16">
        <v>53</v>
      </c>
      <c r="G20" t="s" s="16">
        <v>246</v>
      </c>
    </row>
    <row r="21" ht="13.65" customHeight="1">
      <c r="A21" t="s" s="18">
        <v>247</v>
      </c>
      <c r="B21" t="s" s="15">
        <v>248</v>
      </c>
      <c r="C21" t="s" s="15">
        <v>249</v>
      </c>
      <c r="D21" t="s" s="15">
        <v>250</v>
      </c>
      <c r="E21" s="31"/>
      <c r="F21" s="17"/>
      <c r="G21" s="17"/>
    </row>
    <row r="22" ht="13.55" customHeight="1">
      <c r="A22" s="20"/>
      <c r="B22" s="20"/>
      <c r="C22" s="20"/>
      <c r="D22" s="20"/>
      <c r="E22" s="11"/>
      <c r="F22" s="11"/>
      <c r="G22" s="11"/>
    </row>
    <row r="23" ht="14.6" customHeight="1">
      <c r="A23" t="s" s="12">
        <v>251</v>
      </c>
      <c r="B23" s="13"/>
      <c r="C23" s="13"/>
      <c r="D23" s="13"/>
      <c r="E23" s="13"/>
      <c r="F23" s="13"/>
      <c r="G23" s="13"/>
    </row>
    <row r="24" ht="35.65" customHeight="1">
      <c r="A24" t="s" s="18">
        <v>252</v>
      </c>
      <c r="B24" t="s" s="16">
        <v>253</v>
      </c>
      <c r="C24" s="19"/>
      <c r="D24" s="20"/>
      <c r="E24" s="20"/>
      <c r="F24" s="20"/>
      <c r="G24" s="21"/>
    </row>
    <row r="25" ht="46.65" customHeight="1">
      <c r="A25" t="s" s="18">
        <v>254</v>
      </c>
      <c r="B25" t="s" s="16">
        <v>255</v>
      </c>
      <c r="C25" s="19"/>
      <c r="D25" s="20"/>
      <c r="E25" s="20"/>
      <c r="F25" s="20"/>
      <c r="G25" s="21"/>
    </row>
    <row r="26" ht="46.65" customHeight="1">
      <c r="A26" t="s" s="18">
        <v>256</v>
      </c>
      <c r="B26" t="s" s="16">
        <v>257</v>
      </c>
      <c r="C26" s="19"/>
      <c r="D26" s="20"/>
      <c r="E26" s="20"/>
      <c r="F26" s="20"/>
      <c r="G26" s="21"/>
    </row>
    <row r="27" ht="35.65" customHeight="1">
      <c r="A27" t="s" s="18">
        <v>258</v>
      </c>
      <c r="B27" t="s" s="16">
        <v>259</v>
      </c>
      <c r="C27" s="19"/>
      <c r="D27" s="20"/>
      <c r="E27" s="20"/>
      <c r="F27" s="20"/>
      <c r="G27" s="21"/>
    </row>
    <row r="28" ht="35.65" customHeight="1">
      <c r="A28" t="s" s="18">
        <v>260</v>
      </c>
      <c r="B28" t="s" s="16">
        <v>261</v>
      </c>
      <c r="C28" s="19"/>
      <c r="D28" s="20"/>
      <c r="E28" s="20"/>
      <c r="F28" s="20"/>
      <c r="G28" s="21"/>
    </row>
  </sheetData>
  <mergeCells count="6">
    <mergeCell ref="B24:G24"/>
    <mergeCell ref="A1:G1"/>
    <mergeCell ref="B28:G28"/>
    <mergeCell ref="B27:G27"/>
    <mergeCell ref="B26:G26"/>
    <mergeCell ref="B25:G25"/>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61"/>
  <sheetViews>
    <sheetView workbookViewId="0" showGridLines="0" defaultGridColor="1"/>
  </sheetViews>
  <sheetFormatPr defaultColWidth="8.83333" defaultRowHeight="15" customHeight="1" outlineLevelRow="0" outlineLevelCol="0"/>
  <cols>
    <col min="1" max="1" width="30" style="38" customWidth="1"/>
    <col min="2" max="4" width="35" style="38" customWidth="1"/>
    <col min="5" max="5" width="8.85156" style="38" customWidth="1"/>
    <col min="6" max="16384" width="8.85156" style="38" customWidth="1"/>
  </cols>
  <sheetData>
    <row r="1" ht="18.5" customHeight="1">
      <c r="A1" t="s" s="39">
        <v>263</v>
      </c>
      <c r="B1" s="8"/>
      <c r="C1" s="9"/>
      <c r="D1" s="9"/>
      <c r="E1" s="9"/>
    </row>
    <row r="2" ht="13.55" customHeight="1">
      <c r="A2" s="10"/>
      <c r="B2" s="11"/>
      <c r="C2" s="11"/>
      <c r="D2" s="11"/>
      <c r="E2" s="9"/>
    </row>
    <row r="3" ht="14.6" customHeight="1">
      <c r="A3" t="s" s="12">
        <v>264</v>
      </c>
      <c r="B3" s="13"/>
      <c r="C3" s="13"/>
      <c r="D3" s="13"/>
      <c r="E3" s="33"/>
    </row>
    <row r="4" ht="13.65" customHeight="1">
      <c r="A4" t="s" s="18">
        <v>265</v>
      </c>
      <c r="B4" t="s" s="15">
        <v>266</v>
      </c>
      <c r="C4" s="19"/>
      <c r="D4" s="21"/>
      <c r="E4" s="33"/>
    </row>
    <row r="5" ht="13.65" customHeight="1">
      <c r="A5" t="s" s="18">
        <v>267</v>
      </c>
      <c r="B5" t="s" s="15">
        <v>268</v>
      </c>
      <c r="C5" s="19"/>
      <c r="D5" s="21"/>
      <c r="E5" s="33"/>
    </row>
    <row r="6" ht="13.65" customHeight="1">
      <c r="A6" t="s" s="18">
        <v>269</v>
      </c>
      <c r="B6" t="s" s="15">
        <v>270</v>
      </c>
      <c r="C6" s="19"/>
      <c r="D6" s="21"/>
      <c r="E6" s="33"/>
    </row>
    <row r="7" ht="13.65" customHeight="1">
      <c r="A7" t="s" s="18">
        <v>271</v>
      </c>
      <c r="B7" t="s" s="15">
        <v>272</v>
      </c>
      <c r="C7" s="19"/>
      <c r="D7" s="21"/>
      <c r="E7" s="33"/>
    </row>
    <row r="8" ht="13.65" customHeight="1">
      <c r="A8" t="s" s="18">
        <v>273</v>
      </c>
      <c r="B8" t="s" s="15">
        <v>274</v>
      </c>
      <c r="C8" s="19"/>
      <c r="D8" s="21"/>
      <c r="E8" s="33"/>
    </row>
    <row r="9" ht="13.65" customHeight="1">
      <c r="A9" t="s" s="18">
        <v>275</v>
      </c>
      <c r="B9" t="s" s="15">
        <v>276</v>
      </c>
      <c r="C9" s="19"/>
      <c r="D9" s="21"/>
      <c r="E9" s="33"/>
    </row>
    <row r="10" ht="13.65" customHeight="1">
      <c r="A10" t="s" s="18">
        <v>277</v>
      </c>
      <c r="B10" t="s" s="15">
        <v>278</v>
      </c>
      <c r="C10" s="19"/>
      <c r="D10" s="21"/>
      <c r="E10" s="33"/>
    </row>
    <row r="11" ht="13.65" customHeight="1">
      <c r="A11" t="s" s="18">
        <v>279</v>
      </c>
      <c r="B11" t="s" s="15">
        <v>212</v>
      </c>
      <c r="C11" s="19"/>
      <c r="D11" s="21"/>
      <c r="E11" s="33"/>
    </row>
    <row r="12" ht="13.55" customHeight="1">
      <c r="A12" s="20"/>
      <c r="B12" s="20"/>
      <c r="C12" s="20"/>
      <c r="D12" s="20"/>
      <c r="E12" s="9"/>
    </row>
    <row r="13" ht="14.6" customHeight="1">
      <c r="A13" t="s" s="12">
        <v>280</v>
      </c>
      <c r="B13" s="13"/>
      <c r="C13" s="13"/>
      <c r="D13" s="13"/>
      <c r="E13" s="33"/>
    </row>
    <row r="14" ht="24.65" customHeight="1">
      <c r="A14" t="s" s="18">
        <v>281</v>
      </c>
      <c r="B14" t="s" s="15">
        <v>282</v>
      </c>
      <c r="C14" s="19"/>
      <c r="D14" s="21"/>
      <c r="E14" s="33"/>
    </row>
    <row r="15" ht="24.65" customHeight="1">
      <c r="A15" t="s" s="18">
        <v>283</v>
      </c>
      <c r="B15" t="s" s="15">
        <v>284</v>
      </c>
      <c r="C15" s="19"/>
      <c r="D15" s="21"/>
      <c r="E15" s="33"/>
    </row>
    <row r="16" ht="24.65" customHeight="1">
      <c r="A16" t="s" s="18">
        <v>285</v>
      </c>
      <c r="B16" t="s" s="15">
        <v>286</v>
      </c>
      <c r="C16" s="19"/>
      <c r="D16" s="21"/>
      <c r="E16" s="33"/>
    </row>
    <row r="17" ht="13.55" customHeight="1">
      <c r="A17" s="20"/>
      <c r="B17" s="20"/>
      <c r="C17" s="20"/>
      <c r="D17" s="20"/>
      <c r="E17" s="9"/>
    </row>
    <row r="18" ht="14.6" customHeight="1">
      <c r="A18" t="s" s="12">
        <v>287</v>
      </c>
      <c r="B18" s="13"/>
      <c r="C18" s="13"/>
      <c r="D18" s="13"/>
      <c r="E18" s="33"/>
    </row>
    <row r="19" ht="13.65" customHeight="1">
      <c r="A19" t="s" s="18">
        <v>288</v>
      </c>
      <c r="B19" t="s" s="15">
        <v>289</v>
      </c>
      <c r="C19" t="s" s="15">
        <v>290</v>
      </c>
      <c r="D19" t="s" s="15">
        <v>291</v>
      </c>
      <c r="E19" s="33"/>
    </row>
    <row r="20" ht="13.65" customHeight="1">
      <c r="A20" t="s" s="18">
        <v>292</v>
      </c>
      <c r="B20" t="s" s="15">
        <v>293</v>
      </c>
      <c r="C20" t="s" s="15">
        <v>294</v>
      </c>
      <c r="D20" t="s" s="15">
        <v>291</v>
      </c>
      <c r="E20" s="33"/>
    </row>
    <row r="21" ht="13.65" customHeight="1">
      <c r="A21" t="s" s="18">
        <v>295</v>
      </c>
      <c r="B21" t="s" s="15">
        <v>296</v>
      </c>
      <c r="C21" t="s" s="15">
        <v>297</v>
      </c>
      <c r="D21" t="s" s="15">
        <v>298</v>
      </c>
      <c r="E21" s="33"/>
    </row>
    <row r="22" ht="13.65" customHeight="1">
      <c r="A22" t="s" s="18">
        <v>299</v>
      </c>
      <c r="B22" t="s" s="15">
        <v>300</v>
      </c>
      <c r="C22" t="s" s="15">
        <v>301</v>
      </c>
      <c r="D22" t="s" s="15">
        <v>302</v>
      </c>
      <c r="E22" s="33"/>
    </row>
    <row r="23" ht="13.65" customHeight="1">
      <c r="A23" t="s" s="18">
        <v>303</v>
      </c>
      <c r="B23" t="s" s="15">
        <v>304</v>
      </c>
      <c r="C23" t="s" s="15">
        <v>305</v>
      </c>
      <c r="D23" t="s" s="15">
        <v>306</v>
      </c>
      <c r="E23" s="33"/>
    </row>
    <row r="24" ht="13.65" customHeight="1">
      <c r="A24" t="s" s="18">
        <v>307</v>
      </c>
      <c r="B24" t="s" s="15">
        <v>308</v>
      </c>
      <c r="C24" s="31"/>
      <c r="D24" s="17"/>
      <c r="E24" s="9"/>
    </row>
    <row r="25" ht="13.55" customHeight="1">
      <c r="A25" s="20"/>
      <c r="B25" s="20"/>
      <c r="C25" s="11"/>
      <c r="D25" s="11"/>
      <c r="E25" s="9"/>
    </row>
    <row r="26" ht="14.6" customHeight="1">
      <c r="A26" t="s" s="12">
        <v>309</v>
      </c>
      <c r="B26" s="13"/>
      <c r="C26" s="13"/>
      <c r="D26" s="13"/>
      <c r="E26" s="33"/>
    </row>
    <row r="27" ht="24.65" customHeight="1">
      <c r="A27" t="s" s="18">
        <v>310</v>
      </c>
      <c r="B27" t="s" s="16">
        <v>311</v>
      </c>
      <c r="C27" s="19"/>
      <c r="D27" s="21"/>
      <c r="E27" s="33"/>
    </row>
    <row r="28" ht="24.65" customHeight="1">
      <c r="A28" t="s" s="18">
        <v>312</v>
      </c>
      <c r="B28" t="s" s="16">
        <v>313</v>
      </c>
      <c r="C28" s="19"/>
      <c r="D28" s="21"/>
      <c r="E28" s="33"/>
    </row>
    <row r="29" ht="13.65" customHeight="1">
      <c r="A29" t="s" s="18">
        <v>314</v>
      </c>
      <c r="B29" t="s" s="16">
        <v>315</v>
      </c>
      <c r="C29" s="19"/>
      <c r="D29" s="21"/>
      <c r="E29" s="33"/>
    </row>
    <row r="30" ht="13.65" customHeight="1">
      <c r="A30" t="s" s="18">
        <v>316</v>
      </c>
      <c r="B30" t="s" s="16">
        <v>317</v>
      </c>
      <c r="C30" s="19"/>
      <c r="D30" s="21"/>
      <c r="E30" s="33"/>
    </row>
    <row r="31" ht="24.65" customHeight="1">
      <c r="A31" t="s" s="18">
        <v>318</v>
      </c>
      <c r="B31" t="s" s="16">
        <v>319</v>
      </c>
      <c r="C31" s="19"/>
      <c r="D31" s="21"/>
      <c r="E31" s="33"/>
    </row>
    <row r="32" ht="13.55" customHeight="1">
      <c r="A32" s="20"/>
      <c r="B32" s="20"/>
      <c r="C32" s="20"/>
      <c r="D32" s="20"/>
      <c r="E32" s="9"/>
    </row>
    <row r="33" ht="14.6" customHeight="1">
      <c r="A33" t="s" s="12">
        <v>320</v>
      </c>
      <c r="B33" s="13"/>
      <c r="C33" s="13"/>
      <c r="D33" s="13"/>
      <c r="E33" s="33"/>
    </row>
    <row r="34" ht="13.65" customHeight="1">
      <c r="A34" t="s" s="18">
        <v>321</v>
      </c>
      <c r="B34" t="s" s="16">
        <v>322</v>
      </c>
      <c r="C34" s="19"/>
      <c r="D34" s="21"/>
      <c r="E34" s="33"/>
    </row>
    <row r="35" ht="13.65" customHeight="1">
      <c r="A35" t="s" s="18">
        <v>323</v>
      </c>
      <c r="B35" t="s" s="16">
        <v>324</v>
      </c>
      <c r="C35" s="19"/>
      <c r="D35" s="21"/>
      <c r="E35" s="33"/>
    </row>
    <row r="36" ht="13.65" customHeight="1">
      <c r="A36" t="s" s="18">
        <v>325</v>
      </c>
      <c r="B36" t="s" s="16">
        <v>326</v>
      </c>
      <c r="C36" s="19"/>
      <c r="D36" s="21"/>
      <c r="E36" s="33"/>
    </row>
    <row r="37" ht="13.65" customHeight="1">
      <c r="A37" t="s" s="18">
        <v>327</v>
      </c>
      <c r="B37" t="s" s="16">
        <v>328</v>
      </c>
      <c r="C37" s="19"/>
      <c r="D37" s="21"/>
      <c r="E37" s="33"/>
    </row>
    <row r="38" ht="24.65" customHeight="1">
      <c r="A38" t="s" s="18">
        <v>329</v>
      </c>
      <c r="B38" t="s" s="16">
        <v>330</v>
      </c>
      <c r="C38" s="19"/>
      <c r="D38" s="21"/>
      <c r="E38" s="33"/>
    </row>
    <row r="39" ht="24.65" customHeight="1">
      <c r="A39" t="s" s="18">
        <v>331</v>
      </c>
      <c r="B39" t="s" s="16">
        <v>332</v>
      </c>
      <c r="C39" s="19"/>
      <c r="D39" s="21"/>
      <c r="E39" s="33"/>
    </row>
    <row r="40" ht="24.65" customHeight="1">
      <c r="A40" t="s" s="18">
        <v>333</v>
      </c>
      <c r="B40" t="s" s="16">
        <v>334</v>
      </c>
      <c r="C40" s="19"/>
      <c r="D40" s="21"/>
      <c r="E40" s="33"/>
    </row>
    <row r="41" ht="13.55" customHeight="1">
      <c r="A41" s="20"/>
      <c r="B41" s="20"/>
      <c r="C41" s="20"/>
      <c r="D41" s="20"/>
      <c r="E41" s="9"/>
    </row>
    <row r="42" ht="14.6" customHeight="1">
      <c r="A42" t="s" s="12">
        <v>335</v>
      </c>
      <c r="B42" s="13"/>
      <c r="C42" s="13"/>
      <c r="D42" s="13"/>
      <c r="E42" s="33"/>
    </row>
    <row r="43" ht="13.65" customHeight="1">
      <c r="A43" t="s" s="18">
        <v>336</v>
      </c>
      <c r="B43" t="s" s="16">
        <v>337</v>
      </c>
      <c r="C43" s="19"/>
      <c r="D43" s="21"/>
      <c r="E43" s="33"/>
    </row>
    <row r="44" ht="13.65" customHeight="1">
      <c r="A44" t="s" s="18">
        <v>338</v>
      </c>
      <c r="B44" t="s" s="16">
        <v>339</v>
      </c>
      <c r="C44" s="19"/>
      <c r="D44" s="21"/>
      <c r="E44" s="33"/>
    </row>
    <row r="45" ht="13.65" customHeight="1">
      <c r="A45" t="s" s="18">
        <v>340</v>
      </c>
      <c r="B45" t="s" s="16">
        <v>341</v>
      </c>
      <c r="C45" s="19"/>
      <c r="D45" s="21"/>
      <c r="E45" s="33"/>
    </row>
    <row r="46" ht="13.55" customHeight="1">
      <c r="A46" s="20"/>
      <c r="B46" s="20"/>
      <c r="C46" s="20"/>
      <c r="D46" s="20"/>
      <c r="E46" s="9"/>
    </row>
    <row r="47" ht="14.6" customHeight="1">
      <c r="A47" t="s" s="12">
        <v>342</v>
      </c>
      <c r="B47" s="13"/>
      <c r="C47" s="13"/>
      <c r="D47" s="13"/>
      <c r="E47" s="33"/>
    </row>
    <row r="48" ht="24.65" customHeight="1">
      <c r="A48" t="s" s="18">
        <v>343</v>
      </c>
      <c r="B48" t="s" s="16">
        <v>344</v>
      </c>
      <c r="C48" s="19"/>
      <c r="D48" s="21"/>
      <c r="E48" s="33"/>
    </row>
    <row r="49" ht="24.65" customHeight="1">
      <c r="A49" t="s" s="18">
        <v>345</v>
      </c>
      <c r="B49" t="s" s="16">
        <v>346</v>
      </c>
      <c r="C49" s="19"/>
      <c r="D49" s="21"/>
      <c r="E49" s="33"/>
    </row>
    <row r="50" ht="35.65" customHeight="1">
      <c r="A50" t="s" s="18">
        <v>347</v>
      </c>
      <c r="B50" t="s" s="16">
        <v>348</v>
      </c>
      <c r="C50" s="19"/>
      <c r="D50" s="21"/>
      <c r="E50" s="33"/>
    </row>
    <row r="51" ht="35.65" customHeight="1">
      <c r="A51" t="s" s="18">
        <v>349</v>
      </c>
      <c r="B51" t="s" s="16">
        <v>350</v>
      </c>
      <c r="C51" s="19"/>
      <c r="D51" s="21"/>
      <c r="E51" s="33"/>
    </row>
    <row r="52" ht="13.55" customHeight="1">
      <c r="A52" s="20"/>
      <c r="B52" s="20"/>
      <c r="C52" s="20"/>
      <c r="D52" s="20"/>
      <c r="E52" s="9"/>
    </row>
    <row r="53" ht="14.6" customHeight="1">
      <c r="A53" t="s" s="12">
        <v>351</v>
      </c>
      <c r="B53" s="13"/>
      <c r="C53" s="13"/>
      <c r="D53" s="13"/>
      <c r="E53" s="33"/>
    </row>
    <row r="54" ht="35.65" customHeight="1">
      <c r="A54" t="s" s="18">
        <v>352</v>
      </c>
      <c r="B54" t="s" s="16">
        <v>353</v>
      </c>
      <c r="C54" s="19"/>
      <c r="D54" s="21"/>
      <c r="E54" s="33"/>
    </row>
    <row r="55" ht="35.65" customHeight="1">
      <c r="A55" t="s" s="18">
        <v>354</v>
      </c>
      <c r="B55" t="s" s="16">
        <v>355</v>
      </c>
      <c r="C55" s="19"/>
      <c r="D55" s="21"/>
      <c r="E55" s="33"/>
    </row>
    <row r="56" ht="35.65" customHeight="1">
      <c r="A56" t="s" s="18">
        <v>356</v>
      </c>
      <c r="B56" t="s" s="16">
        <v>357</v>
      </c>
      <c r="C56" s="19"/>
      <c r="D56" s="21"/>
      <c r="E56" s="33"/>
    </row>
    <row r="57" ht="35.65" customHeight="1">
      <c r="A57" t="s" s="18">
        <v>358</v>
      </c>
      <c r="B57" t="s" s="16">
        <v>359</v>
      </c>
      <c r="C57" s="19"/>
      <c r="D57" s="21"/>
      <c r="E57" s="33"/>
    </row>
    <row r="58" ht="13.55" customHeight="1">
      <c r="A58" s="20"/>
      <c r="B58" s="20"/>
      <c r="C58" s="20"/>
      <c r="D58" s="20"/>
      <c r="E58" s="9"/>
    </row>
    <row r="59" ht="14.6" customHeight="1">
      <c r="A59" t="s" s="12">
        <v>360</v>
      </c>
      <c r="B59" s="13"/>
      <c r="C59" s="13"/>
      <c r="D59" s="13"/>
      <c r="E59" s="33"/>
    </row>
    <row r="60" ht="46.65" customHeight="1">
      <c r="A60" t="s" s="18">
        <v>361</v>
      </c>
      <c r="B60" t="s" s="16">
        <v>362</v>
      </c>
      <c r="C60" s="19"/>
      <c r="D60" s="21"/>
      <c r="E60" s="33"/>
    </row>
    <row r="61" ht="57.65" customHeight="1">
      <c r="A61" t="s" s="18">
        <v>363</v>
      </c>
      <c r="B61" t="s" s="16">
        <v>364</v>
      </c>
      <c r="C61" s="19"/>
      <c r="D61" s="21"/>
      <c r="E61" s="33"/>
    </row>
  </sheetData>
  <mergeCells count="37">
    <mergeCell ref="B11:D11"/>
    <mergeCell ref="B14:D14"/>
    <mergeCell ref="B60:D60"/>
    <mergeCell ref="B61:D61"/>
    <mergeCell ref="B57:D57"/>
    <mergeCell ref="B8:D8"/>
    <mergeCell ref="B44:D44"/>
    <mergeCell ref="B29:D29"/>
    <mergeCell ref="B38:D38"/>
    <mergeCell ref="B34:D34"/>
    <mergeCell ref="B10:D10"/>
    <mergeCell ref="B28:D28"/>
    <mergeCell ref="B37:D37"/>
    <mergeCell ref="B49:D49"/>
    <mergeCell ref="B40:D40"/>
    <mergeCell ref="B9:D9"/>
    <mergeCell ref="B30:D30"/>
    <mergeCell ref="B15:D15"/>
    <mergeCell ref="B55:D55"/>
    <mergeCell ref="B6:D6"/>
    <mergeCell ref="B51:D51"/>
    <mergeCell ref="A1:D1"/>
    <mergeCell ref="B5:D5"/>
    <mergeCell ref="B36:D36"/>
    <mergeCell ref="B45:D45"/>
    <mergeCell ref="B35:D35"/>
    <mergeCell ref="B4:D4"/>
    <mergeCell ref="B50:D50"/>
    <mergeCell ref="B7:D7"/>
    <mergeCell ref="B16:D16"/>
    <mergeCell ref="B54:D54"/>
    <mergeCell ref="B31:D31"/>
    <mergeCell ref="B27:D27"/>
    <mergeCell ref="B56:D56"/>
    <mergeCell ref="B43:D43"/>
    <mergeCell ref="B39:D39"/>
    <mergeCell ref="B48:D4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H47"/>
  <sheetViews>
    <sheetView workbookViewId="0" showGridLines="0" defaultGridColor="1"/>
  </sheetViews>
  <sheetFormatPr defaultColWidth="8.83333" defaultRowHeight="15" customHeight="1" outlineLevelRow="0" outlineLevelCol="0"/>
  <cols>
    <col min="1" max="2" width="22" style="40" customWidth="1"/>
    <col min="3" max="4" width="30" style="40" customWidth="1"/>
    <col min="5" max="5" width="22" style="40" customWidth="1"/>
    <col min="6" max="6" width="30" style="40" customWidth="1"/>
    <col min="7" max="8" width="22" style="40" customWidth="1"/>
    <col min="9" max="16384" width="8.85156" style="40" customWidth="1"/>
  </cols>
  <sheetData>
    <row r="1" ht="18.5" customHeight="1">
      <c r="A1" t="s" s="41">
        <v>366</v>
      </c>
      <c r="B1" s="8"/>
      <c r="C1" s="9"/>
      <c r="D1" s="9"/>
      <c r="E1" s="9"/>
      <c r="F1" s="9"/>
      <c r="G1" s="9"/>
      <c r="H1" s="9"/>
    </row>
    <row r="2" ht="13.55" customHeight="1">
      <c r="A2" s="10"/>
      <c r="B2" s="11"/>
      <c r="C2" s="11"/>
      <c r="D2" s="11"/>
      <c r="E2" s="11"/>
      <c r="F2" s="11"/>
      <c r="G2" s="11"/>
      <c r="H2" s="11"/>
    </row>
    <row r="3" ht="14.6" customHeight="1">
      <c r="A3" t="s" s="12">
        <v>367</v>
      </c>
      <c r="B3" s="13"/>
      <c r="C3" s="13"/>
      <c r="D3" s="13"/>
      <c r="E3" s="13"/>
      <c r="F3" s="13"/>
      <c r="G3" s="13"/>
      <c r="H3" s="13"/>
    </row>
    <row r="4" ht="16.6" customHeight="1">
      <c r="A4" t="s" s="42">
        <v>368</v>
      </c>
      <c r="B4" t="s" s="42">
        <v>369</v>
      </c>
      <c r="C4" t="s" s="42">
        <v>370</v>
      </c>
      <c r="D4" t="s" s="42">
        <v>371</v>
      </c>
      <c r="E4" t="s" s="42">
        <v>372</v>
      </c>
      <c r="F4" t="s" s="42">
        <v>373</v>
      </c>
      <c r="G4" t="s" s="42">
        <v>374</v>
      </c>
      <c r="H4" t="s" s="42">
        <v>375</v>
      </c>
    </row>
    <row r="5" ht="24.65" customHeight="1">
      <c r="A5" t="s" s="15">
        <v>376</v>
      </c>
      <c r="B5" t="s" s="15">
        <v>377</v>
      </c>
      <c r="C5" t="s" s="15">
        <v>378</v>
      </c>
      <c r="D5" t="s" s="15">
        <v>379</v>
      </c>
      <c r="E5" t="s" s="15">
        <v>380</v>
      </c>
      <c r="F5" t="s" s="15">
        <v>381</v>
      </c>
      <c r="G5" t="s" s="15">
        <v>382</v>
      </c>
      <c r="H5" t="s" s="15">
        <v>383</v>
      </c>
    </row>
    <row r="6" ht="24.65" customHeight="1">
      <c r="A6" t="s" s="15">
        <v>384</v>
      </c>
      <c r="B6" t="s" s="15">
        <v>377</v>
      </c>
      <c r="C6" t="s" s="15">
        <v>385</v>
      </c>
      <c r="D6" t="s" s="15">
        <v>386</v>
      </c>
      <c r="E6" t="s" s="15">
        <v>387</v>
      </c>
      <c r="F6" t="s" s="15">
        <v>388</v>
      </c>
      <c r="G6" t="s" s="15">
        <v>389</v>
      </c>
      <c r="H6" t="s" s="15">
        <v>383</v>
      </c>
    </row>
    <row r="7" ht="24.65" customHeight="1">
      <c r="A7" t="s" s="15">
        <v>390</v>
      </c>
      <c r="B7" t="s" s="15">
        <v>377</v>
      </c>
      <c r="C7" t="s" s="15">
        <v>391</v>
      </c>
      <c r="D7" t="s" s="15">
        <v>392</v>
      </c>
      <c r="E7" t="s" s="15">
        <v>393</v>
      </c>
      <c r="F7" t="s" s="15">
        <v>394</v>
      </c>
      <c r="G7" t="s" s="15">
        <v>395</v>
      </c>
      <c r="H7" t="s" s="15">
        <v>396</v>
      </c>
    </row>
    <row r="8" ht="24.65" customHeight="1">
      <c r="A8" t="s" s="15">
        <v>397</v>
      </c>
      <c r="B8" t="s" s="15">
        <v>377</v>
      </c>
      <c r="C8" t="s" s="15">
        <v>398</v>
      </c>
      <c r="D8" t="s" s="15">
        <v>399</v>
      </c>
      <c r="E8" t="s" s="15">
        <v>400</v>
      </c>
      <c r="F8" t="s" s="15">
        <v>401</v>
      </c>
      <c r="G8" t="s" s="15">
        <v>402</v>
      </c>
      <c r="H8" t="s" s="15">
        <v>383</v>
      </c>
    </row>
    <row r="9" ht="24.65" customHeight="1">
      <c r="A9" t="s" s="15">
        <v>403</v>
      </c>
      <c r="B9" t="s" s="15">
        <v>377</v>
      </c>
      <c r="C9" t="s" s="15">
        <v>404</v>
      </c>
      <c r="D9" t="s" s="15">
        <v>405</v>
      </c>
      <c r="E9" t="s" s="15">
        <v>393</v>
      </c>
      <c r="F9" t="s" s="15">
        <v>406</v>
      </c>
      <c r="G9" t="s" s="15">
        <v>407</v>
      </c>
      <c r="H9" t="s" s="15">
        <v>383</v>
      </c>
    </row>
    <row r="10" ht="24.65" customHeight="1">
      <c r="A10" t="s" s="15">
        <v>408</v>
      </c>
      <c r="B10" t="s" s="15">
        <v>409</v>
      </c>
      <c r="C10" t="s" s="15">
        <v>410</v>
      </c>
      <c r="D10" t="s" s="15">
        <v>411</v>
      </c>
      <c r="E10" t="s" s="15">
        <v>393</v>
      </c>
      <c r="F10" t="s" s="15">
        <v>412</v>
      </c>
      <c r="G10" t="s" s="15">
        <v>413</v>
      </c>
      <c r="H10" t="s" s="15">
        <v>414</v>
      </c>
    </row>
    <row r="11" ht="13.65" customHeight="1">
      <c r="A11" t="s" s="15">
        <v>415</v>
      </c>
      <c r="B11" t="s" s="15">
        <v>409</v>
      </c>
      <c r="C11" t="s" s="15">
        <v>416</v>
      </c>
      <c r="D11" t="s" s="15">
        <v>417</v>
      </c>
      <c r="E11" t="s" s="15">
        <v>393</v>
      </c>
      <c r="F11" t="s" s="15">
        <v>418</v>
      </c>
      <c r="G11" t="s" s="15">
        <v>419</v>
      </c>
      <c r="H11" t="s" s="15">
        <v>414</v>
      </c>
    </row>
    <row r="12" ht="24.65" customHeight="1">
      <c r="A12" t="s" s="15">
        <v>420</v>
      </c>
      <c r="B12" t="s" s="15">
        <v>409</v>
      </c>
      <c r="C12" t="s" s="15">
        <v>421</v>
      </c>
      <c r="D12" t="s" s="15">
        <v>422</v>
      </c>
      <c r="E12" t="s" s="15">
        <v>423</v>
      </c>
      <c r="F12" t="s" s="15">
        <v>424</v>
      </c>
      <c r="G12" t="s" s="15">
        <v>425</v>
      </c>
      <c r="H12" t="s" s="15">
        <v>414</v>
      </c>
    </row>
    <row r="13" ht="24.65" customHeight="1">
      <c r="A13" t="s" s="15">
        <v>426</v>
      </c>
      <c r="B13" t="s" s="15">
        <v>409</v>
      </c>
      <c r="C13" t="s" s="15">
        <v>427</v>
      </c>
      <c r="D13" t="s" s="15">
        <v>428</v>
      </c>
      <c r="E13" t="s" s="15">
        <v>423</v>
      </c>
      <c r="F13" t="s" s="15">
        <v>429</v>
      </c>
      <c r="G13" t="s" s="15">
        <v>430</v>
      </c>
      <c r="H13" t="s" s="15">
        <v>155</v>
      </c>
    </row>
    <row r="14" ht="24.65" customHeight="1">
      <c r="A14" t="s" s="15">
        <v>431</v>
      </c>
      <c r="B14" t="s" s="15">
        <v>171</v>
      </c>
      <c r="C14" t="s" s="15">
        <v>432</v>
      </c>
      <c r="D14" t="s" s="15">
        <v>433</v>
      </c>
      <c r="E14" t="s" s="15">
        <v>434</v>
      </c>
      <c r="F14" t="s" s="15">
        <v>435</v>
      </c>
      <c r="G14" t="s" s="15">
        <v>436</v>
      </c>
      <c r="H14" t="s" s="15">
        <v>148</v>
      </c>
    </row>
    <row r="15" ht="13.65" customHeight="1">
      <c r="A15" t="s" s="15">
        <v>437</v>
      </c>
      <c r="B15" t="s" s="15">
        <v>171</v>
      </c>
      <c r="C15" t="s" s="15">
        <v>438</v>
      </c>
      <c r="D15" t="s" s="15">
        <v>439</v>
      </c>
      <c r="E15" t="s" s="15">
        <v>434</v>
      </c>
      <c r="F15" t="s" s="15">
        <v>440</v>
      </c>
      <c r="G15" t="s" s="15">
        <v>441</v>
      </c>
      <c r="H15" t="s" s="15">
        <v>148</v>
      </c>
    </row>
    <row r="16" ht="13.65" customHeight="1">
      <c r="A16" t="s" s="15">
        <v>442</v>
      </c>
      <c r="B16" t="s" s="15">
        <v>171</v>
      </c>
      <c r="C16" t="s" s="15">
        <v>443</v>
      </c>
      <c r="D16" t="s" s="15">
        <v>444</v>
      </c>
      <c r="E16" t="s" s="15">
        <v>434</v>
      </c>
      <c r="F16" t="s" s="15">
        <v>445</v>
      </c>
      <c r="G16" t="s" s="15">
        <v>446</v>
      </c>
      <c r="H16" t="s" s="15">
        <v>148</v>
      </c>
    </row>
    <row r="17" ht="13.65" customHeight="1">
      <c r="A17" t="s" s="15">
        <v>447</v>
      </c>
      <c r="B17" t="s" s="15">
        <v>171</v>
      </c>
      <c r="C17" t="s" s="15">
        <v>448</v>
      </c>
      <c r="D17" t="s" s="15">
        <v>449</v>
      </c>
      <c r="E17" t="s" s="15">
        <v>434</v>
      </c>
      <c r="F17" t="s" s="15">
        <v>450</v>
      </c>
      <c r="G17" t="s" s="15">
        <v>451</v>
      </c>
      <c r="H17" t="s" s="15">
        <v>148</v>
      </c>
    </row>
    <row r="18" ht="13.65" customHeight="1">
      <c r="A18" t="s" s="15">
        <v>452</v>
      </c>
      <c r="B18" t="s" s="15">
        <v>453</v>
      </c>
      <c r="C18" t="s" s="15">
        <v>454</v>
      </c>
      <c r="D18" t="s" s="15">
        <v>455</v>
      </c>
      <c r="E18" t="s" s="15">
        <v>456</v>
      </c>
      <c r="F18" t="s" s="15">
        <v>457</v>
      </c>
      <c r="G18" t="s" s="15">
        <v>395</v>
      </c>
      <c r="H18" t="s" s="15">
        <v>383</v>
      </c>
    </row>
    <row r="19" ht="24.65" customHeight="1">
      <c r="A19" t="s" s="15">
        <v>458</v>
      </c>
      <c r="B19" t="s" s="15">
        <v>453</v>
      </c>
      <c r="C19" t="s" s="15">
        <v>459</v>
      </c>
      <c r="D19" t="s" s="15">
        <v>460</v>
      </c>
      <c r="E19" t="s" s="15">
        <v>461</v>
      </c>
      <c r="F19" t="s" s="15">
        <v>462</v>
      </c>
      <c r="G19" t="s" s="15">
        <v>463</v>
      </c>
      <c r="H19" t="s" s="15">
        <v>168</v>
      </c>
    </row>
    <row r="20" ht="35.65" customHeight="1">
      <c r="A20" t="s" s="15">
        <v>464</v>
      </c>
      <c r="B20" t="s" s="15">
        <v>453</v>
      </c>
      <c r="C20" t="s" s="15">
        <v>465</v>
      </c>
      <c r="D20" t="s" s="15">
        <v>466</v>
      </c>
      <c r="E20" t="s" s="15">
        <v>393</v>
      </c>
      <c r="F20" t="s" s="15">
        <v>467</v>
      </c>
      <c r="G20" t="s" s="15">
        <v>468</v>
      </c>
      <c r="H20" t="s" s="15">
        <v>383</v>
      </c>
    </row>
    <row r="21" ht="13.55" customHeight="1">
      <c r="A21" s="20"/>
      <c r="B21" s="20"/>
      <c r="C21" s="20"/>
      <c r="D21" s="20"/>
      <c r="E21" s="20"/>
      <c r="F21" s="20"/>
      <c r="G21" s="20"/>
      <c r="H21" s="20"/>
    </row>
    <row r="22" ht="14.6" customHeight="1">
      <c r="A22" t="s" s="12">
        <v>469</v>
      </c>
      <c r="B22" s="13"/>
      <c r="C22" s="13"/>
      <c r="D22" s="13"/>
      <c r="E22" s="13"/>
      <c r="F22" s="13"/>
      <c r="G22" s="13"/>
      <c r="H22" s="13"/>
    </row>
    <row r="23" ht="16.6" customHeight="1">
      <c r="A23" t="s" s="42">
        <v>470</v>
      </c>
      <c r="B23" t="s" s="42">
        <v>471</v>
      </c>
      <c r="C23" t="s" s="42">
        <v>40</v>
      </c>
      <c r="D23" t="s" s="42">
        <v>472</v>
      </c>
      <c r="E23" t="s" s="42">
        <v>473</v>
      </c>
      <c r="F23" t="s" s="42">
        <v>474</v>
      </c>
      <c r="G23" s="31"/>
      <c r="H23" s="17"/>
    </row>
    <row r="24" ht="24.65" customHeight="1">
      <c r="A24" t="s" s="16">
        <v>475</v>
      </c>
      <c r="B24" t="s" s="16">
        <v>476</v>
      </c>
      <c r="C24" t="s" s="16">
        <v>477</v>
      </c>
      <c r="D24" t="s" s="16">
        <v>478</v>
      </c>
      <c r="E24" t="s" s="16">
        <v>479</v>
      </c>
      <c r="F24" t="s" s="16">
        <v>480</v>
      </c>
      <c r="G24" s="33"/>
      <c r="H24" s="9"/>
    </row>
    <row r="25" ht="24.65" customHeight="1">
      <c r="A25" t="s" s="16">
        <v>481</v>
      </c>
      <c r="B25" t="s" s="16">
        <v>482</v>
      </c>
      <c r="C25" t="s" s="16">
        <v>483</v>
      </c>
      <c r="D25" t="s" s="16">
        <v>484</v>
      </c>
      <c r="E25" t="s" s="16">
        <v>485</v>
      </c>
      <c r="F25" t="s" s="16">
        <v>486</v>
      </c>
      <c r="G25" s="33"/>
      <c r="H25" s="9"/>
    </row>
    <row r="26" ht="35.65" customHeight="1">
      <c r="A26" t="s" s="16">
        <v>487</v>
      </c>
      <c r="B26" t="s" s="16">
        <v>488</v>
      </c>
      <c r="C26" t="s" s="16">
        <v>489</v>
      </c>
      <c r="D26" t="s" s="16">
        <v>490</v>
      </c>
      <c r="E26" t="s" s="16">
        <v>479</v>
      </c>
      <c r="F26" t="s" s="16">
        <v>491</v>
      </c>
      <c r="G26" s="33"/>
      <c r="H26" s="9"/>
    </row>
    <row r="27" ht="35.65" customHeight="1">
      <c r="A27" t="s" s="16">
        <v>492</v>
      </c>
      <c r="B27" t="s" s="16">
        <v>493</v>
      </c>
      <c r="C27" t="s" s="16">
        <v>494</v>
      </c>
      <c r="D27" t="s" s="16">
        <v>495</v>
      </c>
      <c r="E27" t="s" s="16">
        <v>485</v>
      </c>
      <c r="F27" t="s" s="16">
        <v>496</v>
      </c>
      <c r="G27" s="33"/>
      <c r="H27" s="9"/>
    </row>
    <row r="28" ht="24.65" customHeight="1">
      <c r="A28" t="s" s="16">
        <v>497</v>
      </c>
      <c r="B28" t="s" s="16">
        <v>498</v>
      </c>
      <c r="C28" t="s" s="16">
        <v>499</v>
      </c>
      <c r="D28" t="s" s="16">
        <v>500</v>
      </c>
      <c r="E28" t="s" s="16">
        <v>501</v>
      </c>
      <c r="F28" t="s" s="16">
        <v>502</v>
      </c>
      <c r="G28" s="33"/>
      <c r="H28" s="9"/>
    </row>
    <row r="29" ht="24.65" customHeight="1">
      <c r="A29" t="s" s="16">
        <v>503</v>
      </c>
      <c r="B29" t="s" s="16">
        <v>504</v>
      </c>
      <c r="C29" t="s" s="16">
        <v>505</v>
      </c>
      <c r="D29" t="s" s="16">
        <v>506</v>
      </c>
      <c r="E29" t="s" s="16">
        <v>479</v>
      </c>
      <c r="F29" t="s" s="16">
        <v>507</v>
      </c>
      <c r="G29" s="33"/>
      <c r="H29" s="9"/>
    </row>
    <row r="30" ht="24.65" customHeight="1">
      <c r="A30" t="s" s="16">
        <v>508</v>
      </c>
      <c r="B30" t="s" s="16">
        <v>509</v>
      </c>
      <c r="C30" t="s" s="16">
        <v>510</v>
      </c>
      <c r="D30" t="s" s="16">
        <v>511</v>
      </c>
      <c r="E30" t="s" s="16">
        <v>501</v>
      </c>
      <c r="F30" t="s" s="16">
        <v>512</v>
      </c>
      <c r="G30" s="33"/>
      <c r="H30" s="9"/>
    </row>
    <row r="31" ht="24.65" customHeight="1">
      <c r="A31" t="s" s="16">
        <v>513</v>
      </c>
      <c r="B31" t="s" s="16">
        <v>514</v>
      </c>
      <c r="C31" t="s" s="16">
        <v>515</v>
      </c>
      <c r="D31" t="s" s="16">
        <v>516</v>
      </c>
      <c r="E31" t="s" s="16">
        <v>485</v>
      </c>
      <c r="F31" t="s" s="16">
        <v>517</v>
      </c>
      <c r="G31" s="33"/>
      <c r="H31" s="9"/>
    </row>
    <row r="32" ht="24.65" customHeight="1">
      <c r="A32" t="s" s="16">
        <v>518</v>
      </c>
      <c r="B32" t="s" s="16">
        <v>519</v>
      </c>
      <c r="C32" t="s" s="16">
        <v>520</v>
      </c>
      <c r="D32" t="s" s="16">
        <v>521</v>
      </c>
      <c r="E32" t="s" s="16">
        <v>479</v>
      </c>
      <c r="F32" t="s" s="16">
        <v>522</v>
      </c>
      <c r="G32" s="33"/>
      <c r="H32" s="9"/>
    </row>
    <row r="33" ht="35.65" customHeight="1">
      <c r="A33" t="s" s="16">
        <v>523</v>
      </c>
      <c r="B33" t="s" s="16">
        <v>524</v>
      </c>
      <c r="C33" t="s" s="16">
        <v>525</v>
      </c>
      <c r="D33" t="s" s="16">
        <v>526</v>
      </c>
      <c r="E33" t="s" s="16">
        <v>501</v>
      </c>
      <c r="F33" t="s" s="16">
        <v>527</v>
      </c>
      <c r="G33" s="33"/>
      <c r="H33" s="9"/>
    </row>
    <row r="34" ht="13.55" customHeight="1">
      <c r="A34" s="20"/>
      <c r="B34" s="20"/>
      <c r="C34" s="20"/>
      <c r="D34" s="20"/>
      <c r="E34" s="20"/>
      <c r="F34" s="20"/>
      <c r="G34" s="11"/>
      <c r="H34" s="11"/>
    </row>
    <row r="35" ht="14.6" customHeight="1">
      <c r="A35" t="s" s="12">
        <v>528</v>
      </c>
      <c r="B35" s="13"/>
      <c r="C35" s="13"/>
      <c r="D35" s="13"/>
      <c r="E35" s="13"/>
      <c r="F35" s="13"/>
      <c r="G35" s="13"/>
      <c r="H35" s="13"/>
    </row>
    <row r="36" ht="30.6" customHeight="1">
      <c r="A36" t="s" s="42">
        <v>529</v>
      </c>
      <c r="B36" t="s" s="42">
        <v>530</v>
      </c>
      <c r="C36" t="s" s="42">
        <v>531</v>
      </c>
      <c r="D36" t="s" s="42">
        <v>532</v>
      </c>
      <c r="E36" t="s" s="42">
        <v>533</v>
      </c>
      <c r="F36" t="s" s="42">
        <v>534</v>
      </c>
      <c r="G36" t="s" s="42">
        <v>535</v>
      </c>
      <c r="H36" s="31"/>
    </row>
    <row r="37" ht="57.65" customHeight="1">
      <c r="A37" t="s" s="16">
        <v>485</v>
      </c>
      <c r="B37" t="s" s="16">
        <v>109</v>
      </c>
      <c r="C37" t="s" s="16">
        <v>536</v>
      </c>
      <c r="D37" t="s" s="16">
        <v>537</v>
      </c>
      <c r="E37" s="26">
        <v>0.5</v>
      </c>
      <c r="F37" t="s" s="16">
        <v>538</v>
      </c>
      <c r="G37" t="s" s="16">
        <v>155</v>
      </c>
      <c r="H37" s="33"/>
    </row>
    <row r="38" ht="46.65" customHeight="1">
      <c r="A38" t="s" s="16">
        <v>539</v>
      </c>
      <c r="B38" t="s" s="16">
        <v>48</v>
      </c>
      <c r="C38" t="s" s="16">
        <v>540</v>
      </c>
      <c r="D38" t="s" s="16">
        <v>541</v>
      </c>
      <c r="E38" s="26">
        <v>2</v>
      </c>
      <c r="F38" t="s" s="16">
        <v>542</v>
      </c>
      <c r="G38" t="s" s="16">
        <v>148</v>
      </c>
      <c r="H38" s="33"/>
    </row>
    <row r="39" ht="35.65" customHeight="1">
      <c r="A39" t="s" s="16">
        <v>543</v>
      </c>
      <c r="B39" t="s" s="16">
        <v>53</v>
      </c>
      <c r="C39" t="s" s="16">
        <v>544</v>
      </c>
      <c r="D39" t="s" s="16">
        <v>545</v>
      </c>
      <c r="E39" s="26">
        <v>24</v>
      </c>
      <c r="F39" t="s" s="16">
        <v>546</v>
      </c>
      <c r="G39" t="s" s="16">
        <v>414</v>
      </c>
      <c r="H39" s="33"/>
    </row>
    <row r="40" ht="35.65" customHeight="1">
      <c r="A40" t="s" s="16">
        <v>547</v>
      </c>
      <c r="B40" t="s" s="16">
        <v>99</v>
      </c>
      <c r="C40" t="s" s="16">
        <v>548</v>
      </c>
      <c r="D40" t="s" s="16">
        <v>549</v>
      </c>
      <c r="E40" s="26">
        <v>168</v>
      </c>
      <c r="F40" t="s" s="16">
        <v>550</v>
      </c>
      <c r="G40" t="s" s="16">
        <v>551</v>
      </c>
      <c r="H40" s="33"/>
    </row>
    <row r="41" ht="13.55" customHeight="1">
      <c r="A41" s="20"/>
      <c r="B41" s="20"/>
      <c r="C41" s="20"/>
      <c r="D41" s="20"/>
      <c r="E41" s="20"/>
      <c r="F41" s="20"/>
      <c r="G41" s="20"/>
      <c r="H41" s="11"/>
    </row>
    <row r="42" ht="14.6" customHeight="1">
      <c r="A42" t="s" s="12">
        <v>552</v>
      </c>
      <c r="B42" s="13"/>
      <c r="C42" s="13"/>
      <c r="D42" s="13"/>
      <c r="E42" s="13"/>
      <c r="F42" s="13"/>
      <c r="G42" s="13"/>
      <c r="H42" s="13"/>
    </row>
    <row r="43" ht="46.65" customHeight="1">
      <c r="A43" t="s" s="18">
        <v>553</v>
      </c>
      <c r="B43" t="s" s="16">
        <v>554</v>
      </c>
      <c r="C43" s="19"/>
      <c r="D43" s="20"/>
      <c r="E43" s="20"/>
      <c r="F43" s="20"/>
      <c r="G43" s="20"/>
      <c r="H43" s="21"/>
    </row>
    <row r="44" ht="35.65" customHeight="1">
      <c r="A44" t="s" s="18">
        <v>555</v>
      </c>
      <c r="B44" t="s" s="16">
        <v>556</v>
      </c>
      <c r="C44" s="19"/>
      <c r="D44" s="20"/>
      <c r="E44" s="20"/>
      <c r="F44" s="20"/>
      <c r="G44" s="20"/>
      <c r="H44" s="21"/>
    </row>
    <row r="45" ht="35.65" customHeight="1">
      <c r="A45" t="s" s="18">
        <v>557</v>
      </c>
      <c r="B45" t="s" s="16">
        <v>558</v>
      </c>
      <c r="C45" s="19"/>
      <c r="D45" s="20"/>
      <c r="E45" s="20"/>
      <c r="F45" s="20"/>
      <c r="G45" s="20"/>
      <c r="H45" s="21"/>
    </row>
    <row r="46" ht="35.65" customHeight="1">
      <c r="A46" t="s" s="18">
        <v>559</v>
      </c>
      <c r="B46" t="s" s="16">
        <v>560</v>
      </c>
      <c r="C46" s="19"/>
      <c r="D46" s="20"/>
      <c r="E46" s="20"/>
      <c r="F46" s="20"/>
      <c r="G46" s="20"/>
      <c r="H46" s="21"/>
    </row>
    <row r="47" ht="35.65" customHeight="1">
      <c r="A47" t="s" s="18">
        <v>561</v>
      </c>
      <c r="B47" t="s" s="16">
        <v>562</v>
      </c>
      <c r="C47" s="19"/>
      <c r="D47" s="20"/>
      <c r="E47" s="20"/>
      <c r="F47" s="20"/>
      <c r="G47" s="20"/>
      <c r="H47" s="21"/>
    </row>
  </sheetData>
  <mergeCells count="6">
    <mergeCell ref="B44:H44"/>
    <mergeCell ref="B43:H43"/>
    <mergeCell ref="B47:H47"/>
    <mergeCell ref="A1:H1"/>
    <mergeCell ref="B45:H45"/>
    <mergeCell ref="B46:H46"/>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38"/>
  <sheetViews>
    <sheetView workbookViewId="0" showGridLines="0" defaultGridColor="1"/>
  </sheetViews>
  <sheetFormatPr defaultColWidth="8.83333" defaultRowHeight="15" customHeight="1" outlineLevelRow="0" outlineLevelCol="0"/>
  <cols>
    <col min="1" max="1" width="30" style="43" customWidth="1"/>
    <col min="2" max="4" width="35" style="43" customWidth="1"/>
    <col min="5" max="5" width="8.85156" style="43" customWidth="1"/>
    <col min="6" max="16384" width="8.85156" style="43" customWidth="1"/>
  </cols>
  <sheetData>
    <row r="1" ht="18.5" customHeight="1">
      <c r="A1" t="s" s="44">
        <v>564</v>
      </c>
      <c r="B1" s="8"/>
      <c r="C1" s="9"/>
      <c r="D1" s="9"/>
      <c r="E1" s="9"/>
    </row>
    <row r="2" ht="13.65" customHeight="1">
      <c r="A2" t="s" s="45">
        <v>565</v>
      </c>
      <c r="B2" s="9"/>
      <c r="C2" s="9"/>
      <c r="D2" s="9"/>
      <c r="E2" s="9"/>
    </row>
    <row r="3" ht="13.55" customHeight="1">
      <c r="A3" s="11"/>
      <c r="B3" s="11"/>
      <c r="C3" s="11"/>
      <c r="D3" s="11"/>
      <c r="E3" s="9"/>
    </row>
    <row r="4" ht="14.6" customHeight="1">
      <c r="A4" t="s" s="12">
        <v>566</v>
      </c>
      <c r="B4" s="13"/>
      <c r="C4" s="13"/>
      <c r="D4" s="13"/>
      <c r="E4" s="33"/>
    </row>
    <row r="5" ht="24.65" customHeight="1">
      <c r="A5" t="s" s="18">
        <v>567</v>
      </c>
      <c r="B5" t="s" s="16">
        <v>568</v>
      </c>
      <c r="C5" s="19"/>
      <c r="D5" s="21"/>
      <c r="E5" s="33"/>
    </row>
    <row r="6" ht="24.65" customHeight="1">
      <c r="A6" t="s" s="18">
        <v>569</v>
      </c>
      <c r="B6" t="s" s="16">
        <v>570</v>
      </c>
      <c r="C6" s="19"/>
      <c r="D6" s="21"/>
      <c r="E6" s="33"/>
    </row>
    <row r="7" ht="35.65" customHeight="1">
      <c r="A7" t="s" s="18">
        <v>571</v>
      </c>
      <c r="B7" t="s" s="16">
        <v>572</v>
      </c>
      <c r="C7" s="19"/>
      <c r="D7" s="21"/>
      <c r="E7" s="33"/>
    </row>
    <row r="8" ht="13.55" customHeight="1">
      <c r="A8" s="20"/>
      <c r="B8" s="20"/>
      <c r="C8" s="20"/>
      <c r="D8" s="20"/>
      <c r="E8" s="9"/>
    </row>
    <row r="9" ht="14.6" customHeight="1">
      <c r="A9" t="s" s="12">
        <v>573</v>
      </c>
      <c r="B9" s="13"/>
      <c r="C9" s="13"/>
      <c r="D9" s="13"/>
      <c r="E9" s="33"/>
    </row>
    <row r="10" ht="24.65" customHeight="1">
      <c r="A10" t="s" s="18">
        <v>574</v>
      </c>
      <c r="B10" t="s" s="16">
        <v>575</v>
      </c>
      <c r="C10" s="19"/>
      <c r="D10" s="21"/>
      <c r="E10" s="33"/>
    </row>
    <row r="11" ht="24.65" customHeight="1">
      <c r="A11" t="s" s="18">
        <v>576</v>
      </c>
      <c r="B11" t="s" s="16">
        <v>577</v>
      </c>
      <c r="C11" s="19"/>
      <c r="D11" s="21"/>
      <c r="E11" s="33"/>
    </row>
    <row r="12" ht="35.65" customHeight="1">
      <c r="A12" t="s" s="18">
        <v>578</v>
      </c>
      <c r="B12" t="s" s="16">
        <v>579</v>
      </c>
      <c r="C12" s="19"/>
      <c r="D12" s="21"/>
      <c r="E12" s="33"/>
    </row>
    <row r="13" ht="13.55" customHeight="1">
      <c r="A13" s="20"/>
      <c r="B13" s="20"/>
      <c r="C13" s="20"/>
      <c r="D13" s="20"/>
      <c r="E13" s="9"/>
    </row>
    <row r="14" ht="14.6" customHeight="1">
      <c r="A14" t="s" s="12">
        <v>580</v>
      </c>
      <c r="B14" s="13"/>
      <c r="C14" s="13"/>
      <c r="D14" s="13"/>
      <c r="E14" s="33"/>
    </row>
    <row r="15" ht="24.65" customHeight="1">
      <c r="A15" t="s" s="18">
        <v>581</v>
      </c>
      <c r="B15" t="s" s="16">
        <v>582</v>
      </c>
      <c r="C15" s="19"/>
      <c r="D15" s="21"/>
      <c r="E15" s="33"/>
    </row>
    <row r="16" ht="35.65" customHeight="1">
      <c r="A16" t="s" s="18">
        <v>583</v>
      </c>
      <c r="B16" t="s" s="16">
        <v>584</v>
      </c>
      <c r="C16" s="19"/>
      <c r="D16" s="21"/>
      <c r="E16" s="33"/>
    </row>
    <row r="17" ht="35.65" customHeight="1">
      <c r="A17" t="s" s="18">
        <v>585</v>
      </c>
      <c r="B17" t="s" s="16">
        <v>586</v>
      </c>
      <c r="C17" s="19"/>
      <c r="D17" s="21"/>
      <c r="E17" s="33"/>
    </row>
    <row r="18" ht="13.55" customHeight="1">
      <c r="A18" s="20"/>
      <c r="B18" s="20"/>
      <c r="C18" s="20"/>
      <c r="D18" s="20"/>
      <c r="E18" s="9"/>
    </row>
    <row r="19" ht="14.6" customHeight="1">
      <c r="A19" t="s" s="12">
        <v>587</v>
      </c>
      <c r="B19" s="13"/>
      <c r="C19" s="13"/>
      <c r="D19" s="13"/>
      <c r="E19" s="33"/>
    </row>
    <row r="20" ht="24.65" customHeight="1">
      <c r="A20" t="s" s="18">
        <v>588</v>
      </c>
      <c r="B20" t="s" s="16">
        <v>589</v>
      </c>
      <c r="C20" s="19"/>
      <c r="D20" s="21"/>
      <c r="E20" s="33"/>
    </row>
    <row r="21" ht="24.65" customHeight="1">
      <c r="A21" t="s" s="18">
        <v>590</v>
      </c>
      <c r="B21" t="s" s="16">
        <v>591</v>
      </c>
      <c r="C21" s="19"/>
      <c r="D21" s="21"/>
      <c r="E21" s="33"/>
    </row>
    <row r="22" ht="24.65" customHeight="1">
      <c r="A22" t="s" s="18">
        <v>592</v>
      </c>
      <c r="B22" t="s" s="16">
        <v>593</v>
      </c>
      <c r="C22" s="19"/>
      <c r="D22" s="21"/>
      <c r="E22" s="33"/>
    </row>
    <row r="23" ht="13.55" customHeight="1">
      <c r="A23" s="20"/>
      <c r="B23" s="20"/>
      <c r="C23" s="20"/>
      <c r="D23" s="20"/>
      <c r="E23" s="9"/>
    </row>
    <row r="24" ht="14.6" customHeight="1">
      <c r="A24" t="s" s="12">
        <v>594</v>
      </c>
      <c r="B24" s="13"/>
      <c r="C24" s="13"/>
      <c r="D24" s="13"/>
      <c r="E24" s="33"/>
    </row>
    <row r="25" ht="13.65" customHeight="1">
      <c r="A25" t="s" s="18">
        <v>595</v>
      </c>
      <c r="B25" t="s" s="16">
        <v>596</v>
      </c>
      <c r="C25" s="19"/>
      <c r="D25" s="21"/>
      <c r="E25" s="33"/>
    </row>
    <row r="26" ht="24.65" customHeight="1">
      <c r="A26" t="s" s="18">
        <v>252</v>
      </c>
      <c r="B26" t="s" s="16">
        <v>597</v>
      </c>
      <c r="C26" s="19"/>
      <c r="D26" s="21"/>
      <c r="E26" s="33"/>
    </row>
    <row r="27" ht="24.65" customHeight="1">
      <c r="A27" t="s" s="18">
        <v>598</v>
      </c>
      <c r="B27" t="s" s="16">
        <v>599</v>
      </c>
      <c r="C27" s="19"/>
      <c r="D27" s="21"/>
      <c r="E27" s="33"/>
    </row>
    <row r="28" ht="13.55" customHeight="1">
      <c r="A28" s="20"/>
      <c r="B28" s="20"/>
      <c r="C28" s="20"/>
      <c r="D28" s="20"/>
      <c r="E28" s="9"/>
    </row>
    <row r="29" ht="14.6" customHeight="1">
      <c r="A29" t="s" s="12">
        <v>600</v>
      </c>
      <c r="B29" s="13"/>
      <c r="C29" s="13"/>
      <c r="D29" s="13"/>
      <c r="E29" s="33"/>
    </row>
    <row r="30" ht="24.65" customHeight="1">
      <c r="A30" t="s" s="18">
        <v>601</v>
      </c>
      <c r="B30" t="s" s="16">
        <v>602</v>
      </c>
      <c r="C30" s="19"/>
      <c r="D30" s="21"/>
      <c r="E30" s="33"/>
    </row>
    <row r="31" ht="24.65" customHeight="1">
      <c r="A31" t="s" s="18">
        <v>603</v>
      </c>
      <c r="B31" t="s" s="16">
        <v>604</v>
      </c>
      <c r="C31" s="19"/>
      <c r="D31" s="21"/>
      <c r="E31" s="33"/>
    </row>
    <row r="32" ht="24.65" customHeight="1">
      <c r="A32" t="s" s="18">
        <v>605</v>
      </c>
      <c r="B32" t="s" s="16">
        <v>606</v>
      </c>
      <c r="C32" s="19"/>
      <c r="D32" s="21"/>
      <c r="E32" s="33"/>
    </row>
    <row r="33" ht="13.55" customHeight="1">
      <c r="A33" s="20"/>
      <c r="B33" s="20"/>
      <c r="C33" s="20"/>
      <c r="D33" s="20"/>
      <c r="E33" s="9"/>
    </row>
    <row r="34" ht="14.6" customHeight="1">
      <c r="A34" t="s" s="12">
        <v>607</v>
      </c>
      <c r="B34" s="13"/>
      <c r="C34" s="13"/>
      <c r="D34" s="13"/>
      <c r="E34" s="33"/>
    </row>
    <row r="35" ht="24.65" customHeight="1">
      <c r="A35" t="s" s="18">
        <v>608</v>
      </c>
      <c r="B35" t="s" s="16">
        <v>609</v>
      </c>
      <c r="C35" s="19"/>
      <c r="D35" s="21"/>
      <c r="E35" s="33"/>
    </row>
    <row r="36" ht="35.65" customHeight="1">
      <c r="A36" t="s" s="18">
        <v>610</v>
      </c>
      <c r="B36" t="s" s="16">
        <v>611</v>
      </c>
      <c r="C36" s="19"/>
      <c r="D36" s="21"/>
      <c r="E36" s="33"/>
    </row>
    <row r="37" ht="68.65" customHeight="1">
      <c r="A37" t="s" s="18">
        <v>612</v>
      </c>
      <c r="B37" t="s" s="16">
        <v>613</v>
      </c>
      <c r="C37" s="19"/>
      <c r="D37" s="21"/>
      <c r="E37" s="33"/>
    </row>
    <row r="38" ht="24.65" customHeight="1">
      <c r="A38" t="s" s="18">
        <v>614</v>
      </c>
      <c r="B38" t="s" s="16">
        <v>615</v>
      </c>
      <c r="C38" s="19"/>
      <c r="D38" s="21"/>
      <c r="E38" s="33"/>
    </row>
  </sheetData>
  <mergeCells count="24">
    <mergeCell ref="B11:D11"/>
    <mergeCell ref="B17:D17"/>
    <mergeCell ref="B38:D38"/>
    <mergeCell ref="B10:D10"/>
    <mergeCell ref="B37:D37"/>
    <mergeCell ref="B30:D30"/>
    <mergeCell ref="B15:D15"/>
    <mergeCell ref="B6:D6"/>
    <mergeCell ref="B20:D20"/>
    <mergeCell ref="A1:D1"/>
    <mergeCell ref="B5:D5"/>
    <mergeCell ref="B36:D36"/>
    <mergeCell ref="B32:D32"/>
    <mergeCell ref="B35:D35"/>
    <mergeCell ref="B26:D26"/>
    <mergeCell ref="B7:D7"/>
    <mergeCell ref="B25:D25"/>
    <mergeCell ref="B16:D16"/>
    <mergeCell ref="B31:D31"/>
    <mergeCell ref="B22:D22"/>
    <mergeCell ref="B27:D27"/>
    <mergeCell ref="B21:D21"/>
    <mergeCell ref="A2:D2"/>
    <mergeCell ref="B12:D1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